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<sst xmlns="http://schemas.openxmlformats.org/spreadsheetml/2006/main" count="78" uniqueCount="68">
  <si>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 xml:space="preserve">row</t>
  </si>
  <si>
    <t xml:space="preserve">depth</t>
  </si>
  <si>
    <t xml:space="preserve">tree</t>
  </si>
  <si>
    <t xml:space="preserve">pgn</t>
  </si>
  <si>
    <t xml:space="preserve">fen</t>
  </si>
  <si>
    <t xml:space="preserve">owner row</t>
  </si>
  <si>
    <t xml:space="preserve">tr #</t>
  </si>
  <si>
    <t xml:space="preserve">parent row</t>
  </si>
  <si>
    <t xml:space="preserve">ending?</t>
  </si>
  <si>
    <t xml:space="preserve">moveProb</t>
  </si>
  <si>
    <t xml:space="preserve">routeProb</t>
  </si>
  <si>
    <t xml:space="preserve">baseline cumProb</t>
  </si>
  <si>
    <t xml:space="preserve">tr #1 handover</t>
  </si>
  <si>
    <t xml:space="preserve">seed </t>
  </si>
  <si>
    <t xml:space="preserve">apply</t>
  </si>
  <si>
    <t xml:space="preserve">queue </t>
  </si>
  <si>
    <t xml:space="preserve">wave 1</t>
  </si>
  <si>
    <t xml:space="preserve">tr #2 handover</t>
  </si>
  <si>
    <t xml:space="preserve">queue to </t>
  </si>
  <si>
    <t xml:space="preserve">wave 2</t>
  </si>
  <si>
    <t xml:space="preserve">wave 3</t>
  </si>
  <si>
    <t xml:space="preserve">forward</t>
  </si>
  <si>
    <t xml:space="preserve">wave 4</t>
  </si>
  <si>
    <t xml:space="preserve">manual final</t>
  </si>
  <si>
    <t xml:space="preserve">script final</t>
  </si>
  <si>
    <t xml:space="preserve">diff</t>
  </si>
  <si>
    <t xml:space="preserve">notes</t>
  </si>
  <si>
    <t xml:space="preserve">log search key</t>
  </si>
  <si>
    <t xml:space="preserve"> d4</t>
  </si>
  <si>
    <t xml:space="preserve">1. d4</t>
  </si>
  <si>
    <t xml:space="preserve">z7war</t>
  </si>
  <si>
    <t xml:space="preserve">2  z7war</t>
  </si>
  <si>
    <t xml:space="preserve">  Nf3</t>
  </si>
  <si>
    <t xml:space="preserve">1. d4 d5 2. Nf3</t>
  </si>
  <si>
    <t xml:space="preserve">1303w</t>
  </si>
  <si>
    <t xml:space="preserve">3  1303w</t>
  </si>
  <si>
    <t xml:space="preserve">   c4</t>
  </si>
  <si>
    <t xml:space="preserve">1. d4 d5 2. Nf3 Nf6 3. c4</t>
  </si>
  <si>
    <t xml:space="preserve">ble3x</t>
  </si>
  <si>
    <t xml:space="preserve">4  ble3x</t>
  </si>
  <si>
    <t xml:space="preserve">    g3</t>
  </si>
  <si>
    <t xml:space="preserve">1. d4 d5 2. Nf3 Nf6 3. c4 e6 4. g3</t>
  </si>
  <si>
    <t xml:space="preserve">02vbx</t>
  </si>
  <si>
    <t xml:space="preserve">5  02vbx</t>
  </si>
  <si>
    <t xml:space="preserve">     Bg2</t>
  </si>
  <si>
    <t xml:space="preserve">1. d4 d5 2. Nf3 Nf6 3. c4 e6 4. g3 Be7 5. Bg2</t>
  </si>
  <si>
    <t xml:space="preserve">h1rkv</t>
  </si>
  <si>
    <t xml:space="preserve">6  h1rkv</t>
  </si>
  <si>
    <t xml:space="preserve">     Nc3</t>
  </si>
  <si>
    <t xml:space="preserve">1. d4 d5 2. Nf3 Nf6 3. c4 e6 4. g3 Be7 5. Nc3</t>
  </si>
  <si>
    <t xml:space="preserve">8865v</t>
  </si>
  <si>
    <t xml:space="preserve">7  8865v</t>
  </si>
  <si>
    <t xml:space="preserve">   g3</t>
  </si>
  <si>
    <t xml:space="preserve">1. d4 d5 2. Nf3 Nf6 3. g3</t>
  </si>
  <si>
    <t xml:space="preserve">f4agm</t>
  </si>
  <si>
    <t xml:space="preserve">8  f4agm</t>
  </si>
  <si>
    <t xml:space="preserve">    c4</t>
  </si>
  <si>
    <t xml:space="preserve">1. d4 d5 2. Nf3 Nf6 3. g3 e6 4. c4</t>
  </si>
  <si>
    <t xml:space="preserve">TR01-&gt;5</t>
  </si>
  <si>
    <t xml:space="preserve">9  02vbx</t>
  </si>
  <si>
    <t xml:space="preserve"> Nf3</t>
  </si>
  <si>
    <t xml:space="preserve">1. Nf3</t>
  </si>
  <si>
    <t xml:space="preserve">en7wz</t>
  </si>
  <si>
    <t xml:space="preserve">10  en7wz</t>
  </si>
  <si>
    <t xml:space="preserve">  d4</t>
  </si>
  <si>
    <t xml:space="preserve">1. Nf3 d5 2. d4</t>
  </si>
  <si>
    <t xml:space="preserve">TR02-&gt;3</t>
  </si>
  <si>
    <t xml:space="preserve">11  1303w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</si>
</sst>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0%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3D85C6"/>
        <bgColor rgb="FF339966"/>
      </patternFill>
    </fill>
    <fill>
      <patternFill patternType="solid">
        <fgColor rgb="FFD9D2E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FFFFFF"/>
      </font>
      <fill>
        <patternFill>
          <bgColor rgb="FF5B4B8A"/>
        </patternFill>
      </fill>
    </dxf>
    <dxf>
      <font>
        <color rgb="FFFFFFFF"/>
      </font>
      <fill>
        <patternFill>
          <bgColor rgb="FFB85C2E"/>
        </patternFill>
      </fill>
    </dxf>
    <dxf>
      <font>
        <color rgb="FFFFFFFF"/>
      </font>
      <fill>
        <patternFill>
          <bgColor rgb="FF1F6F43"/>
        </patternFill>
      </fill>
    </dxf>
    <dxf>
      <font>
        <color rgb="FFFFFFFF"/>
      </font>
      <fill>
        <patternFill>
          <bgColor rgb="FF8F353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8F3535"/>
      <rgbColor rgb="FFFFFFCC"/>
      <rgbColor rgb="FFCCFFFF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D85C6"/>
      <rgbColor rgb="FF33CCCC"/>
      <rgbColor rgb="FF99CC00"/>
      <rgbColor rgb="FFFFCC00"/>
      <rgbColor rgb="FFFF9900"/>
      <rgbColor rgb="FFFF6600"/>
      <rgbColor rgb="FF5B4B8A"/>
      <rgbColor rgb="FF969696"/>
      <rgbColor rgb="FF003366"/>
      <rgbColor rgb="FF339966"/>
      <rgbColor rgb="FF003300"/>
      <rgbColor rgb="FF333300"/>
      <rgbColor rgb="FFB85C2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false" hidden="true" outlineLevel="0" max="3" min="1" style="0" width="12.63"/>
    <col collapsed="false" customWidth="true" hidden="false" outlineLevel="0" max="4" min="4" style="0" width="42"/>
    <col collapsed="false" customWidth="false" hidden="true" outlineLevel="0" max="9" min="8" style="0" width="12.63"/>
    <col collapsed="false" customWidth="false" hidden="true" outlineLevel="0" max="11" min="11" style="0" width="12.63"/>
    <col collapsed="false" customWidth="true" hidden="false" outlineLevel="0" max="12" min="12" style="0" width="14.38"/>
    <col collapsed="false" customWidth="false" hidden="true" outlineLevel="0" max="22" min="22" style="0" width="12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13</v>
      </c>
      <c r="T1" s="1" t="s">
        <v>14</v>
      </c>
      <c r="U1" s="1" t="s">
        <v>15</v>
      </c>
      <c r="V1" s="1" t="s">
        <v>18</v>
      </c>
      <c r="W1" s="1" t="s">
        <v>16</v>
      </c>
      <c r="X1" s="1" t="s">
        <v>15</v>
      </c>
      <c r="Y1" s="1" t="s">
        <v>19</v>
      </c>
      <c r="Z1" s="1" t="s">
        <v>15</v>
      </c>
      <c r="AA1" s="1" t="s">
        <v>20</v>
      </c>
      <c r="AB1" s="1" t="s">
        <v>21</v>
      </c>
      <c r="AC1" s="1" t="s">
        <v>14</v>
      </c>
      <c r="AD1" s="1" t="s">
        <v>15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15" hidden="false" customHeight="false" outlineLevel="0" collapsed="false">
      <c r="A2" s="1" t="n">
        <v>2</v>
      </c>
      <c r="B2" s="1" t="n">
        <v>1</v>
      </c>
      <c r="C2" s="1" t="s">
        <v>28</v>
      </c>
      <c r="D2" s="1" t="s">
        <v>29</v>
      </c>
      <c r="E2" s="1" t="s">
        <v>30</v>
      </c>
      <c r="F2" s="1"/>
      <c r="G2" s="1"/>
      <c r="H2" s="1"/>
      <c r="I2" s="2" t="b">
        <f aca="false">FALSE()</f>
        <v>0</v>
      </c>
      <c r="J2" s="3" t="n">
        <v>0.246824441087468</v>
      </c>
      <c r="K2" s="3" t="n">
        <v>0.246824441087468</v>
      </c>
      <c r="L2" s="3" t="n">
        <v>0.246824441087468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 t="n">
        <f aca="false">SUM(L2:AE2)</f>
        <v>0.246824441087468</v>
      </c>
      <c r="AG2" s="3" t="n">
        <v>0.246824441087468</v>
      </c>
      <c r="AH2" s="3" t="n">
        <f aca="false">AF2-AG2</f>
        <v>0</v>
      </c>
      <c r="AI2" s="1"/>
      <c r="AJ2" s="1" t="s">
        <v>31</v>
      </c>
      <c r="AK2" s="1"/>
      <c r="AL2" s="1"/>
      <c r="AM2" s="1"/>
      <c r="AN2" s="1"/>
      <c r="AO2" s="1"/>
      <c r="AP2" s="1"/>
      <c r="AQ2" s="1"/>
      <c r="AR2" s="1"/>
      <c r="AS2" s="1"/>
      <c r="AT2" s="1"/>
    </row>
    <row r="3" customFormat="false" ht="15" hidden="false" customHeight="false" outlineLevel="0" collapsed="false">
      <c r="A3" s="1" t="n">
        <v>3</v>
      </c>
      <c r="B3" s="1" t="n">
        <v>2</v>
      </c>
      <c r="C3" s="1" t="s">
        <v>32</v>
      </c>
      <c r="D3" s="1" t="s">
        <v>33</v>
      </c>
      <c r="E3" s="1" t="s">
        <v>34</v>
      </c>
      <c r="F3" s="1"/>
      <c r="G3" s="1"/>
      <c r="H3" s="1" t="n">
        <v>2</v>
      </c>
      <c r="I3" s="2" t="b">
        <f aca="false">FALSE()</f>
        <v>0</v>
      </c>
      <c r="J3" s="3" t="n">
        <v>0.156142014092022</v>
      </c>
      <c r="K3" s="3" t="n">
        <v>0.0385396653585348</v>
      </c>
      <c r="L3" s="3" t="n">
        <v>0.0385396653585348</v>
      </c>
      <c r="M3" s="3"/>
      <c r="N3" s="3"/>
      <c r="O3" s="3"/>
      <c r="P3" s="3"/>
      <c r="Q3" s="3"/>
      <c r="R3" s="3"/>
      <c r="S3" s="4"/>
      <c r="T3" s="3" t="n">
        <f aca="false">L11</f>
        <v>0.0104579603510988</v>
      </c>
      <c r="U3" s="5"/>
      <c r="V3" s="3"/>
      <c r="W3" s="3"/>
      <c r="X3" s="3"/>
      <c r="Y3" s="3"/>
      <c r="Z3" s="3"/>
      <c r="AA3" s="3"/>
      <c r="AB3" s="3"/>
      <c r="AC3" s="3"/>
      <c r="AD3" s="3"/>
      <c r="AE3" s="3"/>
      <c r="AF3" s="3" t="n">
        <f aca="false">SUM(L3:AE3)</f>
        <v>0.0489976257096337</v>
      </c>
      <c r="AG3" s="3" t="n">
        <v>0.0489976257096337</v>
      </c>
      <c r="AH3" s="3" t="n">
        <f aca="false">AF3-AG3</f>
        <v>0</v>
      </c>
      <c r="AI3" s="1"/>
      <c r="AJ3" s="1" t="s">
        <v>35</v>
      </c>
      <c r="AK3" s="1"/>
      <c r="AL3" s="1"/>
      <c r="AM3" s="1"/>
      <c r="AN3" s="1"/>
      <c r="AO3" s="1"/>
      <c r="AP3" s="1"/>
      <c r="AQ3" s="1"/>
      <c r="AR3" s="1"/>
      <c r="AS3" s="1"/>
      <c r="AT3" s="1"/>
    </row>
    <row r="4" customFormat="false" ht="15" hidden="false" customHeight="false" outlineLevel="0" collapsed="false">
      <c r="A4" s="1" t="n">
        <v>4</v>
      </c>
      <c r="B4" s="1" t="n">
        <v>3</v>
      </c>
      <c r="C4" s="1" t="s">
        <v>36</v>
      </c>
      <c r="D4" s="1" t="s">
        <v>37</v>
      </c>
      <c r="E4" s="1" t="s">
        <v>38</v>
      </c>
      <c r="F4" s="1"/>
      <c r="G4" s="1"/>
      <c r="H4" s="1" t="n">
        <v>3</v>
      </c>
      <c r="I4" s="2" t="b">
        <f aca="false">FALSE()</f>
        <v>0</v>
      </c>
      <c r="J4" s="3" t="n">
        <v>0.193259210886405</v>
      </c>
      <c r="K4" s="3" t="n">
        <v>0.00744814531501656</v>
      </c>
      <c r="L4" s="3" t="n">
        <v>0.00744814531501656</v>
      </c>
      <c r="M4" s="3"/>
      <c r="N4" s="3"/>
      <c r="O4" s="3"/>
      <c r="P4" s="3"/>
      <c r="Q4" s="3"/>
      <c r="R4" s="3"/>
      <c r="S4" s="3"/>
      <c r="T4" s="3"/>
      <c r="U4" s="4"/>
      <c r="W4" s="3" t="n">
        <f aca="false">T3*J4</f>
        <v>0.00202109716493467</v>
      </c>
      <c r="X4" s="5"/>
      <c r="Y4" s="3"/>
      <c r="Z4" s="3"/>
      <c r="AA4" s="3"/>
      <c r="AB4" s="3"/>
      <c r="AC4" s="3"/>
      <c r="AD4" s="3"/>
      <c r="AE4" s="3"/>
      <c r="AF4" s="3" t="n">
        <f aca="false">SUM(L4:AE4)</f>
        <v>0.00946924247995123</v>
      </c>
      <c r="AG4" s="3" t="n">
        <v>0.00946924247995123</v>
      </c>
      <c r="AH4" s="3" t="n">
        <f aca="false">AF4-AG4</f>
        <v>0</v>
      </c>
      <c r="AI4" s="1"/>
      <c r="AJ4" s="1" t="s">
        <v>39</v>
      </c>
      <c r="AK4" s="1"/>
      <c r="AL4" s="1"/>
      <c r="AM4" s="1"/>
      <c r="AN4" s="1"/>
      <c r="AO4" s="1"/>
      <c r="AP4" s="1"/>
      <c r="AQ4" s="1"/>
      <c r="AR4" s="1"/>
      <c r="AS4" s="1"/>
      <c r="AT4" s="1"/>
    </row>
    <row r="5" customFormat="false" ht="15" hidden="false" customHeight="false" outlineLevel="0" collapsed="false">
      <c r="A5" s="1" t="n">
        <v>5</v>
      </c>
      <c r="B5" s="1" t="n">
        <v>4</v>
      </c>
      <c r="C5" s="1" t="s">
        <v>40</v>
      </c>
      <c r="D5" s="1" t="s">
        <v>41</v>
      </c>
      <c r="E5" s="1" t="s">
        <v>42</v>
      </c>
      <c r="F5" s="1"/>
      <c r="G5" s="1"/>
      <c r="H5" s="1" t="n">
        <v>4</v>
      </c>
      <c r="I5" s="2" t="b">
        <f aca="false">FALSE()</f>
        <v>0</v>
      </c>
      <c r="J5" s="3" t="n">
        <v>0.197958576618844</v>
      </c>
      <c r="K5" s="3" t="n">
        <v>0.00147442424501099</v>
      </c>
      <c r="L5" s="3" t="n">
        <v>0.00147442424501099</v>
      </c>
      <c r="M5" s="3"/>
      <c r="N5" s="4"/>
      <c r="O5" s="3" t="n">
        <f aca="false">L9</f>
        <v>9.83956330874644E-005</v>
      </c>
      <c r="P5" s="5"/>
      <c r="Q5" s="3"/>
      <c r="R5" s="3"/>
      <c r="S5" s="3"/>
      <c r="T5" s="3"/>
      <c r="U5" s="3"/>
      <c r="V5" s="3"/>
      <c r="W5" s="3"/>
      <c r="X5" s="4"/>
      <c r="Y5" s="3" t="n">
        <f aca="false">W4*J5</f>
        <v>0.000400093517978848</v>
      </c>
      <c r="Z5" s="5"/>
      <c r="AA5" s="3"/>
      <c r="AB5" s="4"/>
      <c r="AC5" s="3" t="n">
        <f aca="false">W8*J9</f>
        <v>2.67002222249989E-005</v>
      </c>
      <c r="AD5" s="5"/>
      <c r="AE5" s="3"/>
      <c r="AF5" s="3" t="n">
        <f aca="false">SUM(L5:AE5)</f>
        <v>0.0019996136183023</v>
      </c>
      <c r="AG5" s="3" t="n">
        <v>0.00199961361830229</v>
      </c>
      <c r="AH5" s="3" t="n">
        <f aca="false">AF5-AG5</f>
        <v>7.80625564189563E-018</v>
      </c>
      <c r="AI5" s="1"/>
      <c r="AJ5" s="1" t="s">
        <v>43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customFormat="false" ht="15" hidden="false" customHeight="false" outlineLevel="0" collapsed="false">
      <c r="A6" s="1" t="n">
        <v>6</v>
      </c>
      <c r="B6" s="1" t="n">
        <v>5</v>
      </c>
      <c r="C6" s="1" t="s">
        <v>44</v>
      </c>
      <c r="D6" s="1" t="s">
        <v>45</v>
      </c>
      <c r="E6" s="1" t="s">
        <v>46</v>
      </c>
      <c r="F6" s="1"/>
      <c r="G6" s="1"/>
      <c r="H6" s="1" t="n">
        <v>5</v>
      </c>
      <c r="I6" s="6" t="b">
        <f aca="false">TRUE()</f>
        <v>1</v>
      </c>
      <c r="J6" s="7" t="n">
        <v>0.969614607876136</v>
      </c>
      <c r="K6" s="3" t="n">
        <v>0.0014296232861694</v>
      </c>
      <c r="L6" s="3" t="n">
        <v>0.0014296232861694</v>
      </c>
      <c r="M6" s="3"/>
      <c r="N6" s="3"/>
      <c r="O6" s="3"/>
      <c r="P6" s="4"/>
      <c r="Q6" s="3" t="n">
        <f aca="false">O5*J6</f>
        <v>9.54058431928259E-005</v>
      </c>
      <c r="R6" s="3"/>
      <c r="S6" s="3"/>
      <c r="T6" s="3"/>
      <c r="U6" s="3"/>
      <c r="V6" s="3"/>
      <c r="W6" s="3"/>
      <c r="X6" s="3"/>
      <c r="Y6" s="3"/>
      <c r="Z6" s="4"/>
      <c r="AA6" s="3" t="n">
        <f aca="false">Y5*J6</f>
        <v>0.000387936519548844</v>
      </c>
      <c r="AB6" s="3"/>
      <c r="AD6" s="4"/>
      <c r="AE6" s="3" t="n">
        <f aca="false">AC5*J6</f>
        <v>2.5888925502898E-005</v>
      </c>
      <c r="AF6" s="3" t="n">
        <f aca="false">SUM(L6:AE6)</f>
        <v>0.00193885457441396</v>
      </c>
      <c r="AG6" s="3" t="n">
        <v>0.00193885457441396</v>
      </c>
      <c r="AH6" s="3" t="n">
        <f aca="false">AF6-AG6</f>
        <v>0</v>
      </c>
      <c r="AI6" s="1"/>
      <c r="AJ6" s="1" t="s">
        <v>47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customFormat="false" ht="15" hidden="false" customHeight="false" outlineLevel="0" collapsed="false">
      <c r="A7" s="1" t="n">
        <v>7</v>
      </c>
      <c r="B7" s="1" t="n">
        <v>5</v>
      </c>
      <c r="C7" s="1" t="s">
        <v>48</v>
      </c>
      <c r="D7" s="1" t="s">
        <v>49</v>
      </c>
      <c r="E7" s="1" t="s">
        <v>50</v>
      </c>
      <c r="F7" s="1"/>
      <c r="G7" s="1"/>
      <c r="H7" s="1" t="n">
        <v>5</v>
      </c>
      <c r="I7" s="6" t="b">
        <f aca="false">TRUE()</f>
        <v>1</v>
      </c>
      <c r="J7" s="7" t="n">
        <v>0.0104594412655672</v>
      </c>
      <c r="K7" s="3" t="n">
        <v>1.54216537912206E-005</v>
      </c>
      <c r="L7" s="3" t="n">
        <v>1.54216537912206E-005</v>
      </c>
      <c r="M7" s="3"/>
      <c r="N7" s="3"/>
      <c r="O7" s="3"/>
      <c r="P7" s="4"/>
      <c r="Q7" s="3" t="n">
        <f aca="false">O5*J7</f>
        <v>1.02916334506663E-006</v>
      </c>
      <c r="R7" s="3"/>
      <c r="S7" s="3"/>
      <c r="T7" s="3"/>
      <c r="U7" s="3"/>
      <c r="V7" s="3"/>
      <c r="W7" s="3"/>
      <c r="X7" s="3"/>
      <c r="Y7" s="3"/>
      <c r="Z7" s="4"/>
      <c r="AA7" s="3" t="n">
        <f aca="false">Y5*J7</f>
        <v>4.18475465203389E-006</v>
      </c>
      <c r="AB7" s="3"/>
      <c r="AD7" s="4"/>
      <c r="AE7" s="3" t="n">
        <f aca="false">AC5*J7</f>
        <v>2.79269406139966E-007</v>
      </c>
      <c r="AF7" s="3" t="n">
        <f aca="false">SUM(L7:AE7)</f>
        <v>2.09148411944611E-005</v>
      </c>
      <c r="AG7" s="3" t="n">
        <v>2.0914841194461E-005</v>
      </c>
      <c r="AH7" s="3" t="n">
        <f aca="false">AF7-AG7</f>
        <v>8.470329472543E-020</v>
      </c>
      <c r="AI7" s="1"/>
      <c r="AJ7" s="1" t="s">
        <v>51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customFormat="false" ht="15" hidden="false" customHeight="false" outlineLevel="0" collapsed="false">
      <c r="A8" s="1" t="n">
        <v>8</v>
      </c>
      <c r="B8" s="1" t="n">
        <v>3</v>
      </c>
      <c r="C8" s="1" t="s">
        <v>52</v>
      </c>
      <c r="D8" s="1" t="s">
        <v>53</v>
      </c>
      <c r="E8" s="1" t="s">
        <v>54</v>
      </c>
      <c r="F8" s="1"/>
      <c r="G8" s="1"/>
      <c r="H8" s="1" t="n">
        <v>3</v>
      </c>
      <c r="I8" s="2" t="b">
        <f aca="false">FALSE()</f>
        <v>0</v>
      </c>
      <c r="J8" s="3" t="n">
        <v>0.107649751158991</v>
      </c>
      <c r="K8" s="3" t="n">
        <v>0.00414878538559707</v>
      </c>
      <c r="L8" s="3" t="n">
        <v>0.00414878538559707</v>
      </c>
      <c r="M8" s="3"/>
      <c r="N8" s="3"/>
      <c r="O8" s="3"/>
      <c r="P8" s="3"/>
      <c r="Q8" s="3"/>
      <c r="R8" s="3"/>
      <c r="S8" s="3"/>
      <c r="T8" s="3"/>
      <c r="U8" s="4"/>
      <c r="W8" s="3" t="n">
        <f aca="false">T3*J8</f>
        <v>0.00112579682942638</v>
      </c>
      <c r="X8" s="5"/>
      <c r="Y8" s="3"/>
      <c r="Z8" s="3"/>
      <c r="AA8" s="3"/>
      <c r="AD8" s="3"/>
      <c r="AE8" s="3"/>
      <c r="AF8" s="3" t="n">
        <f aca="false">SUM(L8:AE8)</f>
        <v>0.00527458221502345</v>
      </c>
      <c r="AG8" s="3" t="n">
        <v>0.00527458221502345</v>
      </c>
      <c r="AH8" s="3" t="n">
        <f aca="false">AF8-AG8</f>
        <v>0</v>
      </c>
      <c r="AI8" s="1"/>
      <c r="AJ8" s="1" t="s">
        <v>55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customFormat="false" ht="15" hidden="false" customHeight="false" outlineLevel="0" collapsed="false">
      <c r="A9" s="1" t="n">
        <v>9</v>
      </c>
      <c r="B9" s="1" t="n">
        <v>4</v>
      </c>
      <c r="C9" s="1" t="s">
        <v>56</v>
      </c>
      <c r="D9" s="1" t="s">
        <v>57</v>
      </c>
      <c r="E9" s="1" t="s">
        <v>42</v>
      </c>
      <c r="F9" s="1" t="n">
        <v>5</v>
      </c>
      <c r="G9" s="1" t="n">
        <v>1</v>
      </c>
      <c r="H9" s="1" t="n">
        <v>8</v>
      </c>
      <c r="I9" s="2" t="b">
        <f aca="false">FALSE()</f>
        <v>0</v>
      </c>
      <c r="J9" s="3" t="n">
        <v>0.0237167324752577</v>
      </c>
      <c r="K9" s="3" t="n">
        <v>9.83956330874644E-005</v>
      </c>
      <c r="L9" s="3" t="n">
        <v>9.83956330874644E-005</v>
      </c>
      <c r="M9" s="3" t="n">
        <f aca="false">-L9</f>
        <v>-9.83956330874644E-005</v>
      </c>
      <c r="N9" s="5"/>
      <c r="O9" s="3"/>
      <c r="P9" s="3"/>
      <c r="Q9" s="3"/>
      <c r="R9" s="3"/>
      <c r="S9" s="3"/>
      <c r="T9" s="3"/>
      <c r="U9" s="3"/>
      <c r="V9" s="3"/>
      <c r="W9" s="3"/>
      <c r="X9" s="4"/>
      <c r="Z9" s="3"/>
      <c r="AA9" s="3"/>
      <c r="AB9" s="5"/>
      <c r="AC9" s="3"/>
      <c r="AF9" s="3" t="n">
        <f aca="false">SUM(L9:AE9)</f>
        <v>0</v>
      </c>
      <c r="AG9" s="3" t="n">
        <v>0</v>
      </c>
      <c r="AH9" s="3" t="n">
        <f aca="false">AF9-AG9</f>
        <v>0</v>
      </c>
      <c r="AI9" s="1" t="s">
        <v>58</v>
      </c>
      <c r="AJ9" s="1" t="s">
        <v>59</v>
      </c>
      <c r="AK9" s="1"/>
      <c r="AL9" s="1"/>
      <c r="AM9" s="1"/>
      <c r="AN9" s="1"/>
      <c r="AO9" s="1"/>
      <c r="AP9" s="1"/>
      <c r="AQ9" s="1"/>
      <c r="AR9" s="1"/>
      <c r="AS9" s="1"/>
      <c r="AT9" s="1"/>
    </row>
    <row r="10" customFormat="false" ht="15" hidden="false" customHeight="false" outlineLevel="0" collapsed="false">
      <c r="A10" s="1" t="n">
        <v>10</v>
      </c>
      <c r="B10" s="1" t="n">
        <v>1</v>
      </c>
      <c r="C10" s="1" t="s">
        <v>60</v>
      </c>
      <c r="D10" s="1" t="s">
        <v>61</v>
      </c>
      <c r="E10" s="1" t="s">
        <v>62</v>
      </c>
      <c r="F10" s="1"/>
      <c r="G10" s="1"/>
      <c r="H10" s="1"/>
      <c r="I10" s="2" t="b">
        <f aca="false">FALSE()</f>
        <v>0</v>
      </c>
      <c r="J10" s="3" t="n">
        <v>0.027353513327045</v>
      </c>
      <c r="K10" s="3" t="n">
        <v>0.027353513327045</v>
      </c>
      <c r="L10" s="3" t="n">
        <v>0.027353513327045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 t="n">
        <f aca="false">SUM(L10:AE10)</f>
        <v>0.027353513327045</v>
      </c>
      <c r="AG10" s="3" t="n">
        <v>0.027353513327045</v>
      </c>
      <c r="AH10" s="3" t="n">
        <f aca="false">AF10-AG10</f>
        <v>0</v>
      </c>
      <c r="AI10" s="1"/>
      <c r="AJ10" s="1" t="s">
        <v>63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customFormat="false" ht="15" hidden="false" customHeight="false" outlineLevel="0" collapsed="false">
      <c r="A11" s="1" t="n">
        <v>11</v>
      </c>
      <c r="B11" s="1" t="n">
        <v>2</v>
      </c>
      <c r="C11" s="1" t="s">
        <v>64</v>
      </c>
      <c r="D11" s="1" t="s">
        <v>65</v>
      </c>
      <c r="E11" s="1" t="s">
        <v>34</v>
      </c>
      <c r="F11" s="1" t="n">
        <v>3</v>
      </c>
      <c r="G11" s="1" t="n">
        <v>2</v>
      </c>
      <c r="H11" s="1" t="n">
        <v>10</v>
      </c>
      <c r="I11" s="2" t="b">
        <f aca="false">FALSE()</f>
        <v>0</v>
      </c>
      <c r="J11" s="3" t="n">
        <v>0.382326037100281</v>
      </c>
      <c r="K11" s="3" t="n">
        <v>0.0104579603510988</v>
      </c>
      <c r="L11" s="3" t="n">
        <v>0.0104579603510988</v>
      </c>
      <c r="M11" s="3"/>
      <c r="O11" s="3"/>
      <c r="P11" s="3"/>
      <c r="Q11" s="3"/>
      <c r="R11" s="3" t="n">
        <f aca="false">-L11</f>
        <v>-0.0104579603510988</v>
      </c>
      <c r="S11" s="5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 t="n">
        <f aca="false">SUM(L11:AE11)</f>
        <v>0</v>
      </c>
      <c r="AG11" s="3" t="n">
        <v>0</v>
      </c>
      <c r="AH11" s="3" t="n">
        <f aca="false">AF11-AG11</f>
        <v>0</v>
      </c>
      <c r="AI11" s="1" t="s">
        <v>66</v>
      </c>
      <c r="AJ11" s="1" t="s">
        <v>67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8"/>
      <c r="G16" s="8"/>
      <c r="H16" s="8"/>
      <c r="I16" s="8"/>
      <c r="J16" s="9"/>
      <c r="K16" s="9"/>
      <c r="L16" s="9"/>
      <c r="M16" s="9"/>
      <c r="N16" s="9"/>
      <c r="O16" s="9"/>
      <c r="P16" s="9"/>
      <c r="Q16" s="8"/>
      <c r="R16" s="9"/>
      <c r="S16" s="9"/>
      <c r="T16" s="8"/>
      <c r="U16" s="9"/>
      <c r="V16" s="9"/>
      <c r="W16" s="8"/>
      <c r="X16" s="9"/>
      <c r="Y16" s="8"/>
      <c r="Z16" s="9"/>
      <c r="AA16" s="9"/>
      <c r="AB16" s="8"/>
      <c r="AC16" s="8"/>
      <c r="AD16" s="8"/>
      <c r="AE16" s="8"/>
      <c r="AF16" s="8"/>
      <c r="AG16" s="8"/>
      <c r="AH16" s="9"/>
      <c r="AI16" s="8"/>
      <c r="AJ16" s="8"/>
      <c r="AK16" s="8"/>
      <c r="AL16" s="8"/>
      <c r="AM16" s="1"/>
      <c r="AN16" s="1"/>
      <c r="AO16" s="1"/>
      <c r="AP16" s="1"/>
      <c r="AQ16" s="1"/>
      <c r="AR16" s="1"/>
      <c r="AS16" s="1"/>
      <c r="AT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8"/>
      <c r="G17" s="8"/>
      <c r="H17" s="8"/>
      <c r="I17" s="8"/>
      <c r="J17" s="9"/>
      <c r="K17" s="10"/>
      <c r="L17" s="11"/>
      <c r="M17" s="11"/>
      <c r="N17" s="11"/>
      <c r="O17" s="11"/>
      <c r="P17" s="11"/>
      <c r="Q17" s="9"/>
      <c r="R17" s="11"/>
      <c r="S17" s="11"/>
      <c r="T17" s="9"/>
      <c r="U17" s="11"/>
      <c r="V17" s="11"/>
      <c r="W17" s="9"/>
      <c r="X17" s="11"/>
      <c r="Y17" s="9"/>
      <c r="Z17" s="11"/>
      <c r="AA17" s="11"/>
      <c r="AB17" s="9"/>
      <c r="AC17" s="9"/>
      <c r="AD17" s="9"/>
      <c r="AE17" s="9"/>
      <c r="AF17" s="9"/>
      <c r="AG17" s="9"/>
      <c r="AH17" s="11"/>
      <c r="AI17" s="11"/>
      <c r="AK17" s="8"/>
      <c r="AL17" s="8"/>
      <c r="AM17" s="1"/>
      <c r="AN17" s="1"/>
      <c r="AO17" s="1"/>
      <c r="AP17" s="1"/>
      <c r="AQ17" s="1"/>
      <c r="AR17" s="1"/>
      <c r="AS17" s="1"/>
      <c r="AT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8"/>
      <c r="G18" s="1"/>
      <c r="H18" s="8"/>
      <c r="I18" s="8"/>
      <c r="J18" s="11"/>
      <c r="K18" s="10"/>
      <c r="L18" s="11"/>
      <c r="M18" s="11"/>
      <c r="N18" s="11"/>
      <c r="O18" s="11"/>
      <c r="P18" s="11"/>
      <c r="Q18" s="9"/>
      <c r="R18" s="11"/>
      <c r="S18" s="11"/>
      <c r="T18" s="9"/>
      <c r="U18" s="11"/>
      <c r="V18" s="11"/>
      <c r="W18" s="9"/>
      <c r="X18" s="11"/>
      <c r="Y18" s="11"/>
      <c r="Z18" s="11"/>
      <c r="AA18" s="11"/>
      <c r="AB18" s="9"/>
      <c r="AC18" s="9"/>
      <c r="AD18" s="9"/>
      <c r="AE18" s="9"/>
      <c r="AF18" s="9"/>
      <c r="AG18" s="9"/>
      <c r="AH18" s="11"/>
      <c r="AI18" s="11"/>
      <c r="AK18" s="8"/>
      <c r="AL18" s="8"/>
      <c r="AM18" s="1"/>
      <c r="AN18" s="1"/>
      <c r="AO18" s="3"/>
      <c r="AP18" s="1"/>
      <c r="AQ18" s="1"/>
      <c r="AR18" s="1"/>
      <c r="AS18" s="1"/>
      <c r="AT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8"/>
      <c r="G19" s="1"/>
      <c r="H19" s="8"/>
      <c r="I19" s="8"/>
      <c r="J19" s="11"/>
      <c r="K19" s="10"/>
      <c r="L19" s="11"/>
      <c r="M19" s="11"/>
      <c r="N19" s="11"/>
      <c r="O19" s="11"/>
      <c r="P19" s="11"/>
      <c r="Q19" s="9"/>
      <c r="R19" s="11"/>
      <c r="S19" s="11"/>
      <c r="T19" s="9"/>
      <c r="U19" s="11"/>
      <c r="V19" s="11"/>
      <c r="W19" s="9"/>
      <c r="X19" s="11"/>
      <c r="Y19" s="9"/>
      <c r="Z19" s="11"/>
      <c r="AA19" s="11"/>
      <c r="AB19" s="11"/>
      <c r="AC19" s="11"/>
      <c r="AD19" s="11"/>
      <c r="AE19" s="11"/>
      <c r="AF19" s="9"/>
      <c r="AG19" s="9"/>
      <c r="AH19" s="11"/>
      <c r="AI19" s="11"/>
      <c r="AK19" s="8"/>
      <c r="AL19" s="8"/>
      <c r="AM19" s="1"/>
      <c r="AN19" s="1"/>
      <c r="AO19" s="3"/>
      <c r="AP19" s="1"/>
      <c r="AQ19" s="1"/>
      <c r="AR19" s="1"/>
      <c r="AS19" s="1"/>
      <c r="AT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8"/>
      <c r="G20" s="1"/>
      <c r="H20" s="8"/>
      <c r="I20" s="8"/>
      <c r="J20" s="11"/>
      <c r="K20" s="10"/>
      <c r="L20" s="11"/>
      <c r="M20" s="11"/>
      <c r="N20" s="11"/>
      <c r="O20" s="11"/>
      <c r="P20" s="11"/>
      <c r="Q20" s="9"/>
      <c r="R20" s="11"/>
      <c r="S20" s="11"/>
      <c r="T20" s="11"/>
      <c r="U20" s="11"/>
      <c r="V20" s="11"/>
      <c r="W20" s="9"/>
      <c r="X20" s="11"/>
      <c r="Y20" s="9"/>
      <c r="Z20" s="11"/>
      <c r="AA20" s="11"/>
      <c r="AB20" s="9"/>
      <c r="AC20" s="9"/>
      <c r="AD20" s="9"/>
      <c r="AE20" s="9"/>
      <c r="AF20" s="11"/>
      <c r="AG20" s="9"/>
      <c r="AH20" s="11"/>
      <c r="AI20" s="11"/>
      <c r="AK20" s="8"/>
      <c r="AL20" s="8"/>
      <c r="AM20" s="1"/>
      <c r="AN20" s="1"/>
      <c r="AO20" s="3"/>
      <c r="AP20" s="1"/>
      <c r="AQ20" s="1"/>
      <c r="AR20" s="1"/>
      <c r="AS20" s="1"/>
      <c r="AT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8"/>
      <c r="G21" s="1"/>
      <c r="H21" s="8"/>
      <c r="I21" s="8"/>
      <c r="J21" s="11"/>
      <c r="K21" s="10"/>
      <c r="L21" s="11"/>
      <c r="M21" s="11"/>
      <c r="N21" s="11"/>
      <c r="O21" s="11"/>
      <c r="P21" s="11"/>
      <c r="Q21" s="9"/>
      <c r="R21" s="11"/>
      <c r="S21" s="11"/>
      <c r="T21" s="11"/>
      <c r="U21" s="11"/>
      <c r="V21" s="11"/>
      <c r="W21" s="9"/>
      <c r="X21" s="11"/>
      <c r="Y21" s="9"/>
      <c r="Z21" s="11"/>
      <c r="AA21" s="11"/>
      <c r="AB21" s="9"/>
      <c r="AC21" s="9"/>
      <c r="AD21" s="9"/>
      <c r="AE21" s="9"/>
      <c r="AF21" s="9"/>
      <c r="AG21" s="11"/>
      <c r="AH21" s="11"/>
      <c r="AI21" s="11"/>
      <c r="AK21" s="8"/>
      <c r="AL21" s="8"/>
      <c r="AM21" s="1"/>
      <c r="AN21" s="1"/>
      <c r="AO21" s="3"/>
      <c r="AP21" s="1"/>
      <c r="AQ21" s="1"/>
      <c r="AR21" s="1"/>
      <c r="AS21" s="1"/>
      <c r="AT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8"/>
      <c r="G22" s="1"/>
      <c r="H22" s="8"/>
      <c r="I22" s="8"/>
      <c r="J22" s="11"/>
      <c r="K22" s="10"/>
      <c r="L22" s="11"/>
      <c r="M22" s="11"/>
      <c r="N22" s="11"/>
      <c r="O22" s="11"/>
      <c r="P22" s="11"/>
      <c r="Q22" s="9"/>
      <c r="R22" s="11"/>
      <c r="S22" s="11"/>
      <c r="T22" s="11"/>
      <c r="U22" s="11"/>
      <c r="V22" s="11"/>
      <c r="W22" s="9"/>
      <c r="X22" s="11"/>
      <c r="Y22" s="9"/>
      <c r="Z22" s="11"/>
      <c r="AA22" s="11"/>
      <c r="AB22" s="9"/>
      <c r="AC22" s="9"/>
      <c r="AD22" s="9"/>
      <c r="AE22" s="9"/>
      <c r="AF22" s="9"/>
      <c r="AG22" s="11"/>
      <c r="AH22" s="11"/>
      <c r="AI22" s="11"/>
      <c r="AK22" s="8"/>
      <c r="AL22" s="8"/>
      <c r="AM22" s="1"/>
      <c r="AN22" s="1"/>
      <c r="AO22" s="3"/>
      <c r="AP22" s="1"/>
      <c r="AQ22" s="1"/>
      <c r="AR22" s="1"/>
      <c r="AS22" s="1"/>
      <c r="AT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8"/>
      <c r="G23" s="1"/>
      <c r="H23" s="8"/>
      <c r="I23" s="8"/>
      <c r="J23" s="11"/>
      <c r="K23" s="10"/>
      <c r="L23" s="11"/>
      <c r="M23" s="11"/>
      <c r="N23" s="11"/>
      <c r="O23" s="11"/>
      <c r="P23" s="11"/>
      <c r="Q23" s="9"/>
      <c r="R23" s="11"/>
      <c r="S23" s="11"/>
      <c r="T23" s="9"/>
      <c r="U23" s="11"/>
      <c r="V23" s="11"/>
      <c r="W23" s="9"/>
      <c r="X23" s="11"/>
      <c r="Y23" s="9"/>
      <c r="Z23" s="11"/>
      <c r="AA23" s="11"/>
      <c r="AB23" s="11"/>
      <c r="AC23" s="11"/>
      <c r="AD23" s="11"/>
      <c r="AE23" s="11"/>
      <c r="AF23" s="9"/>
      <c r="AG23" s="9"/>
      <c r="AH23" s="11"/>
      <c r="AI23" s="11"/>
      <c r="AK23" s="8"/>
      <c r="AL23" s="8"/>
      <c r="AM23" s="1"/>
      <c r="AN23" s="1"/>
      <c r="AO23" s="3"/>
      <c r="AP23" s="1"/>
      <c r="AQ23" s="1"/>
      <c r="AR23" s="1"/>
      <c r="AS23" s="1"/>
      <c r="AT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8"/>
      <c r="G24" s="1"/>
      <c r="H24" s="12"/>
      <c r="I24" s="12"/>
      <c r="J24" s="11"/>
      <c r="K24" s="10"/>
      <c r="L24" s="11"/>
      <c r="M24" s="11"/>
      <c r="N24" s="11"/>
      <c r="O24" s="11"/>
      <c r="P24" s="11"/>
      <c r="Q24" s="9"/>
      <c r="R24" s="11"/>
      <c r="S24" s="11"/>
      <c r="T24" s="9"/>
      <c r="U24" s="11"/>
      <c r="V24" s="11"/>
      <c r="W24" s="9"/>
      <c r="X24" s="11"/>
      <c r="Y24" s="9"/>
      <c r="Z24" s="11"/>
      <c r="AA24" s="11"/>
      <c r="AB24" s="9"/>
      <c r="AC24" s="9"/>
      <c r="AD24" s="9"/>
      <c r="AE24" s="9"/>
      <c r="AF24" s="11"/>
      <c r="AG24" s="9"/>
      <c r="AH24" s="11"/>
      <c r="AI24" s="11"/>
      <c r="AK24" s="8"/>
      <c r="AL24" s="8"/>
      <c r="AM24" s="1"/>
      <c r="AN24" s="1"/>
      <c r="AO24" s="3"/>
      <c r="AP24" s="1"/>
      <c r="AQ24" s="1"/>
      <c r="AR24" s="1"/>
      <c r="AS24" s="1"/>
      <c r="AT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8"/>
      <c r="G25" s="1"/>
      <c r="H25" s="8"/>
      <c r="I25" s="8"/>
      <c r="J25" s="9"/>
      <c r="K25" s="10"/>
      <c r="L25" s="11"/>
      <c r="M25" s="11"/>
      <c r="N25" s="11"/>
      <c r="O25" s="11"/>
      <c r="P25" s="11"/>
      <c r="Q25" s="9"/>
      <c r="R25" s="11"/>
      <c r="S25" s="11"/>
      <c r="T25" s="9"/>
      <c r="U25" s="11"/>
      <c r="V25" s="11"/>
      <c r="W25" s="9"/>
      <c r="X25" s="11"/>
      <c r="Y25" s="9"/>
      <c r="Z25" s="11"/>
      <c r="AA25" s="11"/>
      <c r="AB25" s="9"/>
      <c r="AC25" s="9"/>
      <c r="AD25" s="9"/>
      <c r="AE25" s="9"/>
      <c r="AF25" s="9"/>
      <c r="AG25" s="9"/>
      <c r="AH25" s="11"/>
      <c r="AI25" s="11"/>
      <c r="AK25" s="8"/>
      <c r="AL25" s="8"/>
      <c r="AM25" s="1"/>
      <c r="AN25" s="1"/>
      <c r="AO25" s="3"/>
      <c r="AP25" s="1"/>
      <c r="AQ25" s="1"/>
      <c r="AR25" s="1"/>
      <c r="AS25" s="1"/>
      <c r="AT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8"/>
      <c r="G26" s="1"/>
      <c r="H26" s="12"/>
      <c r="I26" s="12"/>
      <c r="J26" s="11"/>
      <c r="K26" s="10"/>
      <c r="L26" s="11"/>
      <c r="M26" s="11"/>
      <c r="N26" s="11"/>
      <c r="O26" s="11"/>
      <c r="P26" s="11"/>
      <c r="Q26" s="9"/>
      <c r="R26" s="11"/>
      <c r="S26" s="11"/>
      <c r="T26" s="9"/>
      <c r="U26" s="11"/>
      <c r="V26" s="11"/>
      <c r="W26" s="9"/>
      <c r="X26" s="11"/>
      <c r="Y26" s="9"/>
      <c r="Z26" s="11"/>
      <c r="AA26" s="11"/>
      <c r="AB26" s="9"/>
      <c r="AC26" s="9"/>
      <c r="AD26" s="9"/>
      <c r="AE26" s="9"/>
      <c r="AF26" s="9"/>
      <c r="AG26" s="9"/>
      <c r="AH26" s="11"/>
      <c r="AI26" s="11"/>
      <c r="AK26" s="8"/>
      <c r="AL26" s="8"/>
      <c r="AM26" s="1"/>
      <c r="AN26" s="1"/>
      <c r="AO26" s="3"/>
      <c r="AP26" s="1"/>
      <c r="AQ26" s="1"/>
      <c r="AR26" s="1"/>
      <c r="AS26" s="1"/>
      <c r="AT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3"/>
      <c r="AP27" s="1"/>
      <c r="AQ27" s="1"/>
      <c r="AR27" s="1"/>
      <c r="AS27" s="1"/>
      <c r="AT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3"/>
      <c r="K35" s="3"/>
      <c r="L35" s="3"/>
      <c r="M35" s="1"/>
      <c r="N35" s="1"/>
      <c r="O35" s="3"/>
      <c r="P35" s="1"/>
      <c r="Q35" s="3"/>
      <c r="R35" s="1"/>
      <c r="S35" s="1"/>
      <c r="T35" s="3"/>
      <c r="U35" s="1"/>
      <c r="V35" s="1"/>
      <c r="W35" s="3"/>
      <c r="X35" s="1"/>
      <c r="Y35" s="3"/>
      <c r="Z35" s="1"/>
      <c r="AA35" s="1"/>
      <c r="AB35" s="3"/>
      <c r="AC35" s="3"/>
      <c r="AD35" s="3"/>
      <c r="AE35" s="3"/>
      <c r="AF35" s="3"/>
      <c r="AG35" s="3"/>
      <c r="AH35" s="3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F42" s="3"/>
      <c r="AG42" s="3"/>
      <c r="AH42" s="3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 t="n">
        <f aca="false">SUMIF($I$2:$I$149,TRUE(),$AF$2:$AF$149)</f>
        <v>0.00195976941560843</v>
      </c>
      <c r="AG150" s="3" t="n">
        <f aca="false">SUMIF($I$2:$I$149,TRUE(),$AG$2:$AG$149)</f>
        <v>0.00195976941560842</v>
      </c>
      <c r="AH150" s="3" t="n">
        <f aca="false">AF150-AG150</f>
        <v>0</v>
      </c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E2:E149">
    <cfRule type="expression" priority="2" aboveAverage="0" equalAverage="0" bottom="0" percent="0" rank="0" text="" dxfId="0">
      <formula>AND(E2&lt;&gt;"",COUNTIF(E$2:E$149,E2)=2)</formula>
    </cfRule>
    <cfRule type="expression" priority="3" aboveAverage="0" equalAverage="0" bottom="0" percent="0" rank="0" text="" dxfId="1">
      <formula>AND(E2&lt;&gt;"",COUNTIF(E$2:E$149,E2)&gt;=3)</formula>
    </cfRule>
  </conditionalFormatting>
  <conditionalFormatting sqref="AH2:AH149">
    <cfRule type="expression" priority="4" aboveAverage="0" equalAverage="0" bottom="0" percent="0" rank="0" text="" dxfId="2">
      <formula>AND(AH2&lt;&gt;"",ABS(AH2)&lt;0.000000000001)</formula>
    </cfRule>
    <cfRule type="expression" priority="5" aboveAverage="0" equalAverage="0" bottom="0" percent="0" rank="0" text="" dxfId="3">
      <formula>AND(AH2&lt;&gt;"",ABS(AH2)&gt;=0.000000000001)</formula>
    </cfRule>
  </conditionalFormatting>
  <conditionalFormatting sqref="AH150">
    <cfRule type="expression" priority="6" aboveAverage="0" equalAverage="0" bottom="0" percent="0" rank="0" text="" dxfId="2">
      <formula>ABS(AH150)&lt;0.000000000001</formula>
    </cfRule>
    <cfRule type="expression" priority="7" aboveAverage="0" equalAverage="0" bottom="0" percent="0" rank="0" text="" dxfId="3">
      <formula>ABS(AH150)&gt;=0.000000000001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2026-09-12T20:29:06Z</dcterms:created>
  <dc:creator>openpyxl</dc:creator>
  <dc:description/>
  <dc:language>en-US</dc:language>
  <cp:lastModifiedBy/>
  <dcterms:modified xsi:type="dcterms:W3CDTF">2026-09-12T20:29:10Z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