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yaro\Downloads\"/>
    </mc:Choice>
  </mc:AlternateContent>
  <xr:revisionPtr revIDLastSave="0" documentId="13_ncr:1_{132A169E-AC1D-4269-8A81-6D4ACAF7FB5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ascade check" sheetId="1" r:id="rId1"/>
  </sheets>
  <definedNames>
    <definedName name="_xlnm._FilterDatabase" localSheetId="0" hidden="1">'cascade check'!$A$1:$X$1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49" i="1" l="1"/>
  <c r="T149" i="1"/>
  <c r="I149" i="1"/>
  <c r="C149" i="1"/>
  <c r="V148" i="1"/>
  <c r="T148" i="1"/>
  <c r="I148" i="1"/>
  <c r="C148" i="1"/>
  <c r="V147" i="1"/>
  <c r="T147" i="1"/>
  <c r="I147" i="1"/>
  <c r="C147" i="1"/>
  <c r="V146" i="1"/>
  <c r="T146" i="1"/>
  <c r="I146" i="1"/>
  <c r="C146" i="1"/>
  <c r="V145" i="1"/>
  <c r="T145" i="1"/>
  <c r="I145" i="1"/>
  <c r="C145" i="1"/>
  <c r="V144" i="1"/>
  <c r="T144" i="1"/>
  <c r="I144" i="1"/>
  <c r="C144" i="1"/>
  <c r="V143" i="1"/>
  <c r="T143" i="1"/>
  <c r="I143" i="1"/>
  <c r="C143" i="1"/>
  <c r="V142" i="1"/>
  <c r="T142" i="1"/>
  <c r="I142" i="1"/>
  <c r="C142" i="1"/>
  <c r="V141" i="1"/>
  <c r="T141" i="1"/>
  <c r="I141" i="1"/>
  <c r="C141" i="1"/>
  <c r="V140" i="1"/>
  <c r="T140" i="1"/>
  <c r="I140" i="1"/>
  <c r="C140" i="1"/>
  <c r="V139" i="1"/>
  <c r="T139" i="1"/>
  <c r="I139" i="1"/>
  <c r="C139" i="1"/>
  <c r="V138" i="1"/>
  <c r="T138" i="1"/>
  <c r="I138" i="1"/>
  <c r="C138" i="1"/>
  <c r="V137" i="1"/>
  <c r="T137" i="1"/>
  <c r="I137" i="1"/>
  <c r="C137" i="1"/>
  <c r="V136" i="1"/>
  <c r="T136" i="1"/>
  <c r="I136" i="1"/>
  <c r="C136" i="1"/>
  <c r="V135" i="1"/>
  <c r="T135" i="1"/>
  <c r="I135" i="1"/>
  <c r="C135" i="1"/>
  <c r="V134" i="1"/>
  <c r="T134" i="1"/>
  <c r="I134" i="1"/>
  <c r="C134" i="1"/>
  <c r="V133" i="1"/>
  <c r="T133" i="1"/>
  <c r="I133" i="1"/>
  <c r="C133" i="1"/>
  <c r="V132" i="1"/>
  <c r="T132" i="1"/>
  <c r="I132" i="1"/>
  <c r="C132" i="1"/>
  <c r="V131" i="1"/>
  <c r="T131" i="1"/>
  <c r="I131" i="1"/>
  <c r="C131" i="1"/>
  <c r="V130" i="1"/>
  <c r="T130" i="1"/>
  <c r="I130" i="1"/>
  <c r="C130" i="1"/>
  <c r="V129" i="1"/>
  <c r="T129" i="1"/>
  <c r="I129" i="1"/>
  <c r="C129" i="1"/>
  <c r="V128" i="1"/>
  <c r="T128" i="1"/>
  <c r="I128" i="1"/>
  <c r="C128" i="1"/>
  <c r="V127" i="1"/>
  <c r="T127" i="1"/>
  <c r="I127" i="1"/>
  <c r="C127" i="1"/>
  <c r="V126" i="1"/>
  <c r="T126" i="1"/>
  <c r="I126" i="1"/>
  <c r="C126" i="1"/>
  <c r="V125" i="1"/>
  <c r="T125" i="1"/>
  <c r="I125" i="1"/>
  <c r="C125" i="1"/>
  <c r="V124" i="1"/>
  <c r="T124" i="1"/>
  <c r="I124" i="1"/>
  <c r="C124" i="1"/>
  <c r="V123" i="1"/>
  <c r="T123" i="1"/>
  <c r="I123" i="1"/>
  <c r="C123" i="1"/>
  <c r="V122" i="1"/>
  <c r="T122" i="1"/>
  <c r="I122" i="1"/>
  <c r="C122" i="1"/>
  <c r="V121" i="1"/>
  <c r="T121" i="1"/>
  <c r="I121" i="1"/>
  <c r="C121" i="1"/>
  <c r="V120" i="1"/>
  <c r="T120" i="1"/>
  <c r="I120" i="1"/>
  <c r="C120" i="1"/>
  <c r="V119" i="1"/>
  <c r="T119" i="1"/>
  <c r="I119" i="1"/>
  <c r="C119" i="1"/>
  <c r="V118" i="1"/>
  <c r="T118" i="1"/>
  <c r="I118" i="1"/>
  <c r="C118" i="1"/>
  <c r="V117" i="1"/>
  <c r="T117" i="1"/>
  <c r="I117" i="1"/>
  <c r="C117" i="1"/>
  <c r="V116" i="1"/>
  <c r="T116" i="1"/>
  <c r="I116" i="1"/>
  <c r="C116" i="1"/>
  <c r="V115" i="1"/>
  <c r="T115" i="1"/>
  <c r="I115" i="1"/>
  <c r="C115" i="1"/>
  <c r="V114" i="1"/>
  <c r="T114" i="1"/>
  <c r="I114" i="1"/>
  <c r="C114" i="1"/>
  <c r="V113" i="1"/>
  <c r="T113" i="1"/>
  <c r="I113" i="1"/>
  <c r="C113" i="1"/>
  <c r="V112" i="1"/>
  <c r="T112" i="1"/>
  <c r="I112" i="1"/>
  <c r="C112" i="1"/>
  <c r="V111" i="1"/>
  <c r="T111" i="1"/>
  <c r="I111" i="1"/>
  <c r="C111" i="1"/>
  <c r="V110" i="1"/>
  <c r="T110" i="1"/>
  <c r="I110" i="1"/>
  <c r="C110" i="1"/>
  <c r="V109" i="1"/>
  <c r="T109" i="1"/>
  <c r="I109" i="1"/>
  <c r="C109" i="1"/>
  <c r="V108" i="1"/>
  <c r="T108" i="1"/>
  <c r="I108" i="1"/>
  <c r="C108" i="1"/>
  <c r="V107" i="1"/>
  <c r="T107" i="1"/>
  <c r="I107" i="1"/>
  <c r="C107" i="1"/>
  <c r="V106" i="1"/>
  <c r="T106" i="1"/>
  <c r="I106" i="1"/>
  <c r="C106" i="1"/>
  <c r="V105" i="1"/>
  <c r="T105" i="1"/>
  <c r="I105" i="1"/>
  <c r="C105" i="1"/>
  <c r="V104" i="1"/>
  <c r="T104" i="1"/>
  <c r="I104" i="1"/>
  <c r="C104" i="1"/>
  <c r="V103" i="1"/>
  <c r="T103" i="1"/>
  <c r="I103" i="1"/>
  <c r="C103" i="1"/>
  <c r="V102" i="1"/>
  <c r="T102" i="1"/>
  <c r="I102" i="1"/>
  <c r="C102" i="1"/>
  <c r="V101" i="1"/>
  <c r="T101" i="1"/>
  <c r="I101" i="1"/>
  <c r="C101" i="1"/>
  <c r="V100" i="1"/>
  <c r="T100" i="1"/>
  <c r="I100" i="1"/>
  <c r="C100" i="1"/>
  <c r="V99" i="1"/>
  <c r="T99" i="1"/>
  <c r="I99" i="1"/>
  <c r="C99" i="1"/>
  <c r="V98" i="1"/>
  <c r="T98" i="1"/>
  <c r="I98" i="1"/>
  <c r="C98" i="1"/>
  <c r="V97" i="1"/>
  <c r="T97" i="1"/>
  <c r="I97" i="1"/>
  <c r="C97" i="1"/>
  <c r="V96" i="1"/>
  <c r="T96" i="1"/>
  <c r="I96" i="1"/>
  <c r="C96" i="1"/>
  <c r="V95" i="1"/>
  <c r="T95" i="1"/>
  <c r="I95" i="1"/>
  <c r="C95" i="1"/>
  <c r="V94" i="1"/>
  <c r="T94" i="1"/>
  <c r="I94" i="1"/>
  <c r="C94" i="1"/>
  <c r="V93" i="1"/>
  <c r="T93" i="1"/>
  <c r="I93" i="1"/>
  <c r="C93" i="1"/>
  <c r="V92" i="1"/>
  <c r="T92" i="1"/>
  <c r="I92" i="1"/>
  <c r="C92" i="1"/>
  <c r="V91" i="1"/>
  <c r="T91" i="1"/>
  <c r="I91" i="1"/>
  <c r="C91" i="1"/>
  <c r="V90" i="1"/>
  <c r="T90" i="1"/>
  <c r="I90" i="1"/>
  <c r="C90" i="1"/>
  <c r="V89" i="1"/>
  <c r="T89" i="1"/>
  <c r="I89" i="1"/>
  <c r="C89" i="1"/>
  <c r="V88" i="1"/>
  <c r="T88" i="1"/>
  <c r="I88" i="1"/>
  <c r="C88" i="1"/>
  <c r="V87" i="1"/>
  <c r="T87" i="1"/>
  <c r="I87" i="1"/>
  <c r="C87" i="1"/>
  <c r="V86" i="1"/>
  <c r="T86" i="1"/>
  <c r="I86" i="1"/>
  <c r="C86" i="1"/>
  <c r="V85" i="1"/>
  <c r="T85" i="1"/>
  <c r="I85" i="1"/>
  <c r="C85" i="1"/>
  <c r="V84" i="1"/>
  <c r="T84" i="1"/>
  <c r="I84" i="1"/>
  <c r="C84" i="1"/>
  <c r="V83" i="1"/>
  <c r="T83" i="1"/>
  <c r="I83" i="1"/>
  <c r="C83" i="1"/>
  <c r="V82" i="1"/>
  <c r="T82" i="1"/>
  <c r="I82" i="1"/>
  <c r="C82" i="1"/>
  <c r="V81" i="1"/>
  <c r="T81" i="1"/>
  <c r="I81" i="1"/>
  <c r="C81" i="1"/>
  <c r="V80" i="1"/>
  <c r="T80" i="1"/>
  <c r="I80" i="1"/>
  <c r="C80" i="1"/>
  <c r="V79" i="1"/>
  <c r="T79" i="1"/>
  <c r="I79" i="1"/>
  <c r="C79" i="1"/>
  <c r="V78" i="1"/>
  <c r="T78" i="1"/>
  <c r="I78" i="1"/>
  <c r="C78" i="1"/>
  <c r="V77" i="1"/>
  <c r="T77" i="1"/>
  <c r="I77" i="1"/>
  <c r="C77" i="1"/>
  <c r="V76" i="1"/>
  <c r="T76" i="1"/>
  <c r="I76" i="1"/>
  <c r="C76" i="1"/>
  <c r="V75" i="1"/>
  <c r="T75" i="1"/>
  <c r="I75" i="1"/>
  <c r="C75" i="1"/>
  <c r="V74" i="1"/>
  <c r="T74" i="1"/>
  <c r="I74" i="1"/>
  <c r="C74" i="1"/>
  <c r="V73" i="1"/>
  <c r="T73" i="1"/>
  <c r="I73" i="1"/>
  <c r="C73" i="1"/>
  <c r="V72" i="1"/>
  <c r="T72" i="1"/>
  <c r="I72" i="1"/>
  <c r="C72" i="1"/>
  <c r="V71" i="1"/>
  <c r="T71" i="1"/>
  <c r="I71" i="1"/>
  <c r="C71" i="1"/>
  <c r="V70" i="1"/>
  <c r="T70" i="1"/>
  <c r="I70" i="1"/>
  <c r="C70" i="1"/>
  <c r="V69" i="1"/>
  <c r="T69" i="1"/>
  <c r="I69" i="1"/>
  <c r="C69" i="1"/>
  <c r="V68" i="1"/>
  <c r="T68" i="1"/>
  <c r="I68" i="1"/>
  <c r="C68" i="1"/>
  <c r="V67" i="1"/>
  <c r="T67" i="1"/>
  <c r="I67" i="1"/>
  <c r="C67" i="1"/>
  <c r="V66" i="1"/>
  <c r="T66" i="1"/>
  <c r="I66" i="1"/>
  <c r="C66" i="1"/>
  <c r="V65" i="1"/>
  <c r="T65" i="1"/>
  <c r="I65" i="1"/>
  <c r="C65" i="1"/>
  <c r="V64" i="1"/>
  <c r="T64" i="1"/>
  <c r="I64" i="1"/>
  <c r="C64" i="1"/>
  <c r="V63" i="1"/>
  <c r="T63" i="1"/>
  <c r="I63" i="1"/>
  <c r="C63" i="1"/>
  <c r="V62" i="1"/>
  <c r="T62" i="1"/>
  <c r="I62" i="1"/>
  <c r="C62" i="1"/>
  <c r="V61" i="1"/>
  <c r="T61" i="1"/>
  <c r="I61" i="1"/>
  <c r="C61" i="1"/>
  <c r="V60" i="1"/>
  <c r="T60" i="1"/>
  <c r="I60" i="1"/>
  <c r="C60" i="1"/>
  <c r="V59" i="1"/>
  <c r="T59" i="1"/>
  <c r="I59" i="1"/>
  <c r="C59" i="1"/>
  <c r="V58" i="1"/>
  <c r="T58" i="1"/>
  <c r="I58" i="1"/>
  <c r="C58" i="1"/>
  <c r="V57" i="1"/>
  <c r="T57" i="1"/>
  <c r="I57" i="1"/>
  <c r="C57" i="1"/>
  <c r="V56" i="1"/>
  <c r="T56" i="1"/>
  <c r="I56" i="1"/>
  <c r="C56" i="1"/>
  <c r="V55" i="1"/>
  <c r="T55" i="1"/>
  <c r="I55" i="1"/>
  <c r="C55" i="1"/>
  <c r="V54" i="1"/>
  <c r="T54" i="1"/>
  <c r="I54" i="1"/>
  <c r="C54" i="1"/>
  <c r="V53" i="1"/>
  <c r="T53" i="1"/>
  <c r="I53" i="1"/>
  <c r="C53" i="1"/>
  <c r="V52" i="1"/>
  <c r="T52" i="1"/>
  <c r="I52" i="1"/>
  <c r="C52" i="1"/>
  <c r="V51" i="1"/>
  <c r="T51" i="1"/>
  <c r="I51" i="1"/>
  <c r="C51" i="1"/>
  <c r="V50" i="1"/>
  <c r="T50" i="1"/>
  <c r="I50" i="1"/>
  <c r="C50" i="1"/>
  <c r="V49" i="1"/>
  <c r="T49" i="1"/>
  <c r="I49" i="1"/>
  <c r="C49" i="1"/>
  <c r="V48" i="1"/>
  <c r="T48" i="1"/>
  <c r="I48" i="1"/>
  <c r="C48" i="1"/>
  <c r="V47" i="1"/>
  <c r="T47" i="1"/>
  <c r="I47" i="1"/>
  <c r="C47" i="1"/>
  <c r="V46" i="1"/>
  <c r="T46" i="1"/>
  <c r="I46" i="1"/>
  <c r="C46" i="1"/>
  <c r="V45" i="1"/>
  <c r="T45" i="1"/>
  <c r="I45" i="1"/>
  <c r="C45" i="1"/>
  <c r="V44" i="1"/>
  <c r="T44" i="1"/>
  <c r="I44" i="1"/>
  <c r="C44" i="1"/>
  <c r="V43" i="1"/>
  <c r="T43" i="1"/>
  <c r="I43" i="1"/>
  <c r="C43" i="1"/>
  <c r="V42" i="1"/>
  <c r="T42" i="1"/>
  <c r="I42" i="1"/>
  <c r="C42" i="1"/>
  <c r="V41" i="1"/>
  <c r="T41" i="1"/>
  <c r="I41" i="1"/>
  <c r="C41" i="1"/>
  <c r="V40" i="1"/>
  <c r="T40" i="1"/>
  <c r="I40" i="1"/>
  <c r="C40" i="1"/>
  <c r="V39" i="1"/>
  <c r="T39" i="1"/>
  <c r="I39" i="1"/>
  <c r="C39" i="1"/>
  <c r="V38" i="1"/>
  <c r="T38" i="1"/>
  <c r="I38" i="1"/>
  <c r="C38" i="1"/>
  <c r="V37" i="1"/>
  <c r="T37" i="1"/>
  <c r="I37" i="1"/>
  <c r="C37" i="1"/>
  <c r="V36" i="1"/>
  <c r="T36" i="1"/>
  <c r="I36" i="1"/>
  <c r="C36" i="1"/>
  <c r="V35" i="1"/>
  <c r="T35" i="1"/>
  <c r="I35" i="1"/>
  <c r="C35" i="1"/>
  <c r="V34" i="1"/>
  <c r="T34" i="1"/>
  <c r="I34" i="1"/>
  <c r="C34" i="1"/>
  <c r="V33" i="1"/>
  <c r="T33" i="1"/>
  <c r="I33" i="1"/>
  <c r="C33" i="1"/>
  <c r="V32" i="1"/>
  <c r="T32" i="1"/>
  <c r="I32" i="1"/>
  <c r="C32" i="1"/>
  <c r="V31" i="1"/>
  <c r="T31" i="1"/>
  <c r="I31" i="1"/>
  <c r="C31" i="1"/>
  <c r="V30" i="1"/>
  <c r="T30" i="1"/>
  <c r="I30" i="1"/>
  <c r="C30" i="1"/>
  <c r="V29" i="1"/>
  <c r="T29" i="1"/>
  <c r="I29" i="1"/>
  <c r="C29" i="1"/>
  <c r="V28" i="1"/>
  <c r="T28" i="1"/>
  <c r="I28" i="1"/>
  <c r="C28" i="1"/>
  <c r="V27" i="1"/>
  <c r="T27" i="1"/>
  <c r="I27" i="1"/>
  <c r="C27" i="1"/>
  <c r="V26" i="1"/>
  <c r="T26" i="1"/>
  <c r="I26" i="1"/>
  <c r="C26" i="1"/>
  <c r="V25" i="1"/>
  <c r="T25" i="1"/>
  <c r="I25" i="1"/>
  <c r="C25" i="1"/>
  <c r="V24" i="1"/>
  <c r="T24" i="1"/>
  <c r="I24" i="1"/>
  <c r="C24" i="1"/>
  <c r="V23" i="1"/>
  <c r="T23" i="1"/>
  <c r="I23" i="1"/>
  <c r="C23" i="1"/>
  <c r="V22" i="1"/>
  <c r="T22" i="1"/>
  <c r="I22" i="1"/>
  <c r="C22" i="1"/>
  <c r="V21" i="1"/>
  <c r="T21" i="1"/>
  <c r="I21" i="1"/>
  <c r="C21" i="1"/>
  <c r="V20" i="1"/>
  <c r="T20" i="1"/>
  <c r="I20" i="1"/>
  <c r="C20" i="1"/>
  <c r="V19" i="1"/>
  <c r="T19" i="1"/>
  <c r="I19" i="1"/>
  <c r="C19" i="1"/>
  <c r="V18" i="1"/>
  <c r="T18" i="1"/>
  <c r="I18" i="1"/>
  <c r="C18" i="1"/>
  <c r="V17" i="1"/>
  <c r="T17" i="1"/>
  <c r="I17" i="1"/>
  <c r="C17" i="1"/>
  <c r="V16" i="1"/>
  <c r="T16" i="1"/>
  <c r="I16" i="1"/>
  <c r="C16" i="1"/>
  <c r="V15" i="1"/>
  <c r="T15" i="1"/>
  <c r="I15" i="1"/>
  <c r="C15" i="1"/>
  <c r="V14" i="1"/>
  <c r="T14" i="1"/>
  <c r="I14" i="1"/>
  <c r="C14" i="1"/>
  <c r="V13" i="1"/>
  <c r="T13" i="1"/>
  <c r="I13" i="1"/>
  <c r="C13" i="1"/>
  <c r="V12" i="1"/>
  <c r="T12" i="1"/>
  <c r="I12" i="1"/>
  <c r="C12" i="1"/>
  <c r="V11" i="1"/>
  <c r="T11" i="1"/>
  <c r="I11" i="1"/>
  <c r="C11" i="1"/>
  <c r="V10" i="1"/>
  <c r="T10" i="1"/>
  <c r="I10" i="1"/>
  <c r="C10" i="1"/>
  <c r="V9" i="1"/>
  <c r="T9" i="1"/>
  <c r="I9" i="1"/>
  <c r="C9" i="1"/>
  <c r="V8" i="1"/>
  <c r="T8" i="1"/>
  <c r="I8" i="1"/>
  <c r="C8" i="1"/>
  <c r="V7" i="1"/>
  <c r="T7" i="1"/>
  <c r="I7" i="1"/>
  <c r="C7" i="1"/>
  <c r="V6" i="1"/>
  <c r="T6" i="1"/>
  <c r="I6" i="1"/>
  <c r="C6" i="1"/>
  <c r="V5" i="1"/>
  <c r="T5" i="1"/>
  <c r="I5" i="1"/>
  <c r="C5" i="1"/>
  <c r="V4" i="1"/>
  <c r="T4" i="1"/>
  <c r="I4" i="1"/>
  <c r="C4" i="1"/>
  <c r="T3" i="1"/>
  <c r="V3" i="1" s="1"/>
  <c r="I3" i="1"/>
  <c r="C3" i="1"/>
  <c r="V2" i="1"/>
  <c r="T2" i="1"/>
  <c r="I2" i="1"/>
  <c r="C2" i="1"/>
  <c r="T150" i="1" l="1"/>
  <c r="U150" i="1"/>
</calcChain>
</file>

<file path=xl/sharedStrings.xml><?xml version="1.0" encoding="utf-8"?>
<sst xmlns="http://schemas.openxmlformats.org/spreadsheetml/2006/main" count="468" uniqueCount="461">
  <si>
    <t>row</t>
  </si>
  <si>
    <t>depth</t>
  </si>
  <si>
    <t>tree</t>
  </si>
  <si>
    <t>path</t>
  </si>
  <si>
    <t>fen</t>
  </si>
  <si>
    <t>owner row</t>
  </si>
  <si>
    <t>tr #</t>
  </si>
  <si>
    <t>parent row</t>
  </si>
  <si>
    <t>ending?</t>
  </si>
  <si>
    <t>moveProb</t>
  </si>
  <si>
    <t>routeProb</t>
  </si>
  <si>
    <t>baseline cumProb</t>
  </si>
  <si>
    <t>TR01</t>
  </si>
  <si>
    <t>TR02</t>
  </si>
  <si>
    <t>TR03</t>
  </si>
  <si>
    <t>TR04</t>
  </si>
  <si>
    <t>TR05</t>
  </si>
  <si>
    <t>TR06</t>
  </si>
  <si>
    <t>TR07</t>
  </si>
  <si>
    <t>manual final</t>
  </si>
  <si>
    <t>script final</t>
  </si>
  <si>
    <t>diff</t>
  </si>
  <si>
    <t>notes</t>
  </si>
  <si>
    <t>log search key</t>
  </si>
  <si>
    <t>e4</t>
  </si>
  <si>
    <t>gre</t>
  </si>
  <si>
    <t>e4 FEN=gre</t>
  </si>
  <si>
    <t>e4 c6 d4</t>
  </si>
  <si>
    <t>spq</t>
  </si>
  <si>
    <t>e4 c6 d4 FEN=spq</t>
  </si>
  <si>
    <t>e4 c6 d4 d5 e5</t>
  </si>
  <si>
    <t>stb</t>
  </si>
  <si>
    <t>e4 c6 d4 d5 e5 FEN=stb</t>
  </si>
  <si>
    <t>e4 c6 d4 d5 e5 a6 Nf3</t>
  </si>
  <si>
    <t>qki</t>
  </si>
  <si>
    <t>e4 c6 d4 d5 e5 a6 Nf3 FEN=qki</t>
  </si>
  <si>
    <t>e4 c6 d4 d5 e5 a6 f4</t>
  </si>
  <si>
    <t>mev</t>
  </si>
  <si>
    <t>e4 c6 d4 d5 e5 a6 f4 FEN=mev</t>
  </si>
  <si>
    <t>e4 c6 d4 d5 e5 a6 Bd3</t>
  </si>
  <si>
    <t>tcn</t>
  </si>
  <si>
    <t>e4 c6 d4 d5 e5 a6 Bd3 FEN=tcn</t>
  </si>
  <si>
    <t>e4 c6 d4 d5 e5 a6 c4</t>
  </si>
  <si>
    <t>khi</t>
  </si>
  <si>
    <t>e4 c6 d4 d5 e5 a6 c4 FEN=khi</t>
  </si>
  <si>
    <t>e4 c6 d4 d5 e5 a6 c3</t>
  </si>
  <si>
    <t>gvw</t>
  </si>
  <si>
    <t>e4 c6 d4 d5 e5 a6 c3 FEN=gvw</t>
  </si>
  <si>
    <t>e4 c6 d4 d5 e5 a6 Nc3</t>
  </si>
  <si>
    <t>vss</t>
  </si>
  <si>
    <t>e4 c6 d4 d5 e5 a6 Nc3 FEN=vss</t>
  </si>
  <si>
    <t>e4 c6 d4 d5 exd5</t>
  </si>
  <si>
    <t>ujo</t>
  </si>
  <si>
    <t>e4 c6 d4 d5 exd5 FEN=ujo</t>
  </si>
  <si>
    <t>e4 c6 d4 d5 exd5 Qxd5 Nc3</t>
  </si>
  <si>
    <t>kyc</t>
  </si>
  <si>
    <t>e4 c6 d4 d5 exd5 Qxd5 Nc3 FEN=kyc</t>
  </si>
  <si>
    <t>e4 c6 d4 d5 exd5 Qxd5 Nf3</t>
  </si>
  <si>
    <t>aot</t>
  </si>
  <si>
    <t>e4 c6 d4 d5 exd5 Qxd5 Nf3 FEN=aot</t>
  </si>
  <si>
    <t>e4 c6 d4 d5 exd5 Qxd5 c4</t>
  </si>
  <si>
    <t>sdc</t>
  </si>
  <si>
    <t>e4 c6 d4 d5 exd5 Qxd5 c4 FEN=sdc</t>
  </si>
  <si>
    <t>e4 c6 d4 d5 Nc3</t>
  </si>
  <si>
    <t>qfb</t>
  </si>
  <si>
    <t>e4 c6 d4 d5 Nc3 FEN=qfb</t>
  </si>
  <si>
    <t>e4 c6 d4 d5 Nc3 a6 Nf3</t>
  </si>
  <si>
    <t>vhm</t>
  </si>
  <si>
    <t>e4 c6 d4 d5 Nc3 a6 Nf3 FEN=vhm</t>
  </si>
  <si>
    <t>e4 c6 d4 d5 Nc3 a6 e5</t>
  </si>
  <si>
    <t>e4 c6 d4 d5 Nc3 a6 e5 FEN=vss</t>
  </si>
  <si>
    <t>e4 c6 d4 d5 Nc3 a6 exd5</t>
  </si>
  <si>
    <t>dsh</t>
  </si>
  <si>
    <t>e4 c6 d4 d5 Nc3 a6 exd5 FEN=dsh</t>
  </si>
  <si>
    <t>e4 c6 d4 d5 Nc3 a6 Bd3</t>
  </si>
  <si>
    <t>qcf</t>
  </si>
  <si>
    <t>e4 c6 d4 d5 Nc3 a6 Bd3 FEN=qcf</t>
  </si>
  <si>
    <t>e4 c6 d4 d5 Nc3 a6 Bf4</t>
  </si>
  <si>
    <t>ctc</t>
  </si>
  <si>
    <t>e4 c6 d4 d5 Nc3 a6 Bf4 FEN=ctc</t>
  </si>
  <si>
    <t>e4 c6 Nf3</t>
  </si>
  <si>
    <t>ozr</t>
  </si>
  <si>
    <t>e4 c6 Nf3 FEN=ozr</t>
  </si>
  <si>
    <t>e4 c6 Nf3 g6 d4</t>
  </si>
  <si>
    <t>zoj</t>
  </si>
  <si>
    <t>e4 c6 Nf3 g6 d4 FEN=zoj</t>
  </si>
  <si>
    <t>e4 c6 Nf3 g6 d4 d6 Nc3</t>
  </si>
  <si>
    <t>bsx</t>
  </si>
  <si>
    <t>e4 c6 Nf3 g6 d4 d6 Nc3 FEN=bsx</t>
  </si>
  <si>
    <t>e4 c6 Nf3 g6 d4 d6 Bc4</t>
  </si>
  <si>
    <t>nwx</t>
  </si>
  <si>
    <t>e4 c6 Nf3 g6 d4 d6 Bc4 FEN=nwx</t>
  </si>
  <si>
    <t>e4 c6 Nf3 g6 d4 d6 Bd3</t>
  </si>
  <si>
    <t>zrv</t>
  </si>
  <si>
    <t>e4 c6 Nf3 g6 d4 d6 Bd3 FEN=zrv</t>
  </si>
  <si>
    <t>e4 c6 Nf3 g6 d4 d6 c4</t>
  </si>
  <si>
    <t>kbb</t>
  </si>
  <si>
    <t>e4 c6 Nf3 g6 d4 d6 c4 FEN=kbb</t>
  </si>
  <si>
    <t>e4 c6 Nf3 g6 d4 d6 c3</t>
  </si>
  <si>
    <t>rbx</t>
  </si>
  <si>
    <t>e4 c6 Nf3 g6 d4 d6 c3 FEN=rbx</t>
  </si>
  <si>
    <t>e4 c6 Nf3 g6 d4 d6 Be3</t>
  </si>
  <si>
    <t>gjg</t>
  </si>
  <si>
    <t>e4 c6 Nf3 g6 d4 d6 Be3 FEN=gjg</t>
  </si>
  <si>
    <t>e4 c6 Nf3 g6 d4 d6 Be2</t>
  </si>
  <si>
    <t>wpe</t>
  </si>
  <si>
    <t>e4 c6 Nf3 g6 d4 d6 Be2 FEN=wpe</t>
  </si>
  <si>
    <t>e4 c6 Nf3 g6 Bc4</t>
  </si>
  <si>
    <t>dbu</t>
  </si>
  <si>
    <t>e4 c6 Nf3 g6 Bc4 FEN=dbu</t>
  </si>
  <si>
    <t>e4 c6 Nf3 g6 Bc4 d5 exd5</t>
  </si>
  <si>
    <t>rac</t>
  </si>
  <si>
    <t>e4 c6 Nf3 g6 Bc4 d5 exd5 FEN=rac</t>
  </si>
  <si>
    <t>e4 c6 Nf3 g6 Nc3</t>
  </si>
  <si>
    <t>yhf</t>
  </si>
  <si>
    <t>e4 c6 Nf3 g6 Nc3 FEN=yhf</t>
  </si>
  <si>
    <t>e4 c6 Nf3 g6 Nc3 d5 d4</t>
  </si>
  <si>
    <t>gmb</t>
  </si>
  <si>
    <t>e4 c6 Nf3 g6 Nc3 d5 d4 FEN=gmb</t>
  </si>
  <si>
    <t>e4 c6 Nf3 g6 Nc3 d5 exd5</t>
  </si>
  <si>
    <t>miz</t>
  </si>
  <si>
    <t>e4 c6 Nf3 g6 Nc3 d5 exd5 FEN=miz</t>
  </si>
  <si>
    <t>e4 c6 Nf3 g6 Nc3 d5 e5</t>
  </si>
  <si>
    <t>fma</t>
  </si>
  <si>
    <t>e4 c6 Nf3 g6 Nc3 d5 e5 FEN=fma</t>
  </si>
  <si>
    <t>e4 c6 Nf3 g6 Nc3 d5 d3</t>
  </si>
  <si>
    <t>npp</t>
  </si>
  <si>
    <t>e4 c6 Nf3 g6 Nc3 d5 d3 FEN=npp</t>
  </si>
  <si>
    <t>e4 c6 Bc4</t>
  </si>
  <si>
    <t>xss</t>
  </si>
  <si>
    <t>e4 c6 Bc4 FEN=xss</t>
  </si>
  <si>
    <t>e4 c6 Bc4 d5 exd5</t>
  </si>
  <si>
    <t>phz</t>
  </si>
  <si>
    <t>e4 c6 Bc4 d5 exd5 FEN=phz</t>
  </si>
  <si>
    <t>e4 c6 Bc4 d5 exd5 cxd5 Bb3</t>
  </si>
  <si>
    <t>pzn</t>
  </si>
  <si>
    <t>e4 c6 Bc4 d5 exd5 cxd5 Bb3 FEN=pzn</t>
  </si>
  <si>
    <t>e4 c6 Bc4 d5 exd5 cxd5 Bb5+</t>
  </si>
  <si>
    <t>gdd</t>
  </si>
  <si>
    <t>e4 c6 Bc4 d5 exd5 cxd5 Bb5+ FEN=gdd</t>
  </si>
  <si>
    <t>e4 c6 Nc3</t>
  </si>
  <si>
    <t>vnl</t>
  </si>
  <si>
    <t>e4 c6 Nc3 FEN=vnl</t>
  </si>
  <si>
    <t>e4 c6 Nc3 d5 exd5</t>
  </si>
  <si>
    <t>hgg</t>
  </si>
  <si>
    <t>e4 c6 Nc3 d5 exd5 FEN=hgg</t>
  </si>
  <si>
    <t>e4 c6 Nc3 d5 exd5 cxd5 d4</t>
  </si>
  <si>
    <t>ohc</t>
  </si>
  <si>
    <t>e4 c6 Nc3 d5 exd5 cxd5 d4 FEN=ohc</t>
  </si>
  <si>
    <t>e4 c6 Nc3 d5 exd5 cxd5 Bb5+</t>
  </si>
  <si>
    <t>roe</t>
  </si>
  <si>
    <t>e4 c6 Nc3 d5 exd5 cxd5 Bb5+ FEN=roe</t>
  </si>
  <si>
    <t>e4 c6 Nc3 d5 exd5 cxd5 Nf3</t>
  </si>
  <si>
    <t>nfi</t>
  </si>
  <si>
    <t>e4 c6 Nc3 d5 exd5 cxd5 Nf3 FEN=nfi</t>
  </si>
  <si>
    <t>e4 c6 Nc3 d5 Nf3</t>
  </si>
  <si>
    <t>nno</t>
  </si>
  <si>
    <t>e4 c6 Nc3 d5 Nf3 FEN=nno</t>
  </si>
  <si>
    <t>e4 c6 Nc3 d5 Nf3 h6 d4</t>
  </si>
  <si>
    <t>uud</t>
  </si>
  <si>
    <t>e4 c6 Nc3 d5 Nf3 h6 d4 FEN=uud</t>
  </si>
  <si>
    <t>e4 c6 Nc3 d5 Nf3 h6 exd5</t>
  </si>
  <si>
    <t>bmx</t>
  </si>
  <si>
    <t>e4 c6 Nc3 d5 Nf3 h6 exd5 FEN=bmx</t>
  </si>
  <si>
    <t>e4 c6 Nc3 d5 Nf3 h6 h3</t>
  </si>
  <si>
    <t>kzd</t>
  </si>
  <si>
    <t>e4 c6 Nc3 d5 Nf3 h6 h3 FEN=kzd</t>
  </si>
  <si>
    <t>e4 c6 Nc3 d5 Nf3 h6 d3</t>
  </si>
  <si>
    <t>xbv</t>
  </si>
  <si>
    <t>e4 c6 Nc3 d5 Nf3 h6 d3 FEN=xbv</t>
  </si>
  <si>
    <t>e4 c6 Nc3 d5 d4</t>
  </si>
  <si>
    <t>e4 c6 Nc3 d5 d4 FEN=qfb</t>
  </si>
  <si>
    <t>d4</t>
  </si>
  <si>
    <t>uda</t>
  </si>
  <si>
    <t>d4 FEN=uda</t>
  </si>
  <si>
    <t>d4 d5 c4</t>
  </si>
  <si>
    <t>xdv</t>
  </si>
  <si>
    <t>d4 d5 c4 FEN=xdv</t>
  </si>
  <si>
    <t>d4 d5 c4 dxc4 Nc3</t>
  </si>
  <si>
    <t>ryi</t>
  </si>
  <si>
    <t>d4 d5 c4 dxc4 Nc3 FEN=ryi</t>
  </si>
  <si>
    <t>d4 d5 c4 dxc4 Nc3 a6 a4</t>
  </si>
  <si>
    <t>djn</t>
  </si>
  <si>
    <t>d4 d5 c4 dxc4 Nc3 a6 a4 FEN=djn</t>
  </si>
  <si>
    <t>d4 d5 c4 dxc4 Nc3 a6 e4</t>
  </si>
  <si>
    <t>xxi</t>
  </si>
  <si>
    <t>d4 d5 c4 dxc4 Nc3 a6 e4 FEN=xxi</t>
  </si>
  <si>
    <t>d4 d5 c4 dxc4 Nc3 a6 e3</t>
  </si>
  <si>
    <t>foa</t>
  </si>
  <si>
    <t>d4 d5 c4 dxc4 Nc3 a6 e3 FEN=foa</t>
  </si>
  <si>
    <t>d4 d5 c4 dxc4 Nc3 a6 Nf3</t>
  </si>
  <si>
    <t>yuk</t>
  </si>
  <si>
    <t>d4 d5 c4 dxc4 Nc3 a6 Nf3 FEN=yuk</t>
  </si>
  <si>
    <t>d4 d5 c4 dxc4 e3</t>
  </si>
  <si>
    <t>ryq</t>
  </si>
  <si>
    <t>d4 d5 c4 dxc4 e3 FEN=ryq</t>
  </si>
  <si>
    <t>d4 d5 c4 dxc4 e3 Nc6 Bxc4</t>
  </si>
  <si>
    <t>atk</t>
  </si>
  <si>
    <t>d4 d5 c4 dxc4 e3 Nc6 Bxc4 FEN=atk</t>
  </si>
  <si>
    <t>d4 d5 c4 dxc4 e4</t>
  </si>
  <si>
    <t>pad</t>
  </si>
  <si>
    <t>d4 d5 c4 dxc4 e4 FEN=pad</t>
  </si>
  <si>
    <t>d4 d5 c4 dxc4 e4 b5 a4</t>
  </si>
  <si>
    <t>scc</t>
  </si>
  <si>
    <t>d4 d5 c4 dxc4 e4 b5 a4 FEN=scc</t>
  </si>
  <si>
    <t>d4 d5 c4 dxc4 e4 b5 Nc3</t>
  </si>
  <si>
    <t>lzj</t>
  </si>
  <si>
    <t>d4 d5 c4 dxc4 e4 b5 Nc3 FEN=lzj</t>
  </si>
  <si>
    <t>d4 d5 c4 dxc4 e4 b5 Nf3</t>
  </si>
  <si>
    <t>hbh</t>
  </si>
  <si>
    <t>d4 d5 c4 dxc4 e4 b5 Nf3 FEN=hbh</t>
  </si>
  <si>
    <t>d4 d5 c4 dxc4 Nf3</t>
  </si>
  <si>
    <t>qyf</t>
  </si>
  <si>
    <t>d4 d5 c4 dxc4 Nf3 FEN=qyf</t>
  </si>
  <si>
    <t>d4 d5 c4 dxc4 Nf3 Bf5 Nc3</t>
  </si>
  <si>
    <t>qdu</t>
  </si>
  <si>
    <t>d4 d5 c4 dxc4 Nf3 Bf5 Nc3 FEN=qdu</t>
  </si>
  <si>
    <t>d4 d5 c4 dxc4 Nf3 Bf5 e3</t>
  </si>
  <si>
    <t>tge</t>
  </si>
  <si>
    <t>d4 d5 c4 dxc4 Nf3 Bf5 e3 FEN=tge</t>
  </si>
  <si>
    <t>d4 d5 c4 dxc4 Nf3 Bf5 Qa4+</t>
  </si>
  <si>
    <t>juq</t>
  </si>
  <si>
    <t>d4 d5 c4 dxc4 Nf3 Bf5 Qa4+ FEN=juq</t>
  </si>
  <si>
    <t>d4 d5 c4 dxc4 Nf3 Bf5 g3</t>
  </si>
  <si>
    <t>lyf</t>
  </si>
  <si>
    <t>d4 d5 c4 dxc4 Nf3 Bf5 g3 FEN=lyf</t>
  </si>
  <si>
    <t>d4 d5 Bf4</t>
  </si>
  <si>
    <t>xih</t>
  </si>
  <si>
    <t>d4 d5 Bf4 FEN=xih</t>
  </si>
  <si>
    <t>d4 d5 Bf4 h5 e3</t>
  </si>
  <si>
    <t>ayz</t>
  </si>
  <si>
    <t>d4 d5 Bf4 h5 e3 FEN=ayz</t>
  </si>
  <si>
    <t>d4 d5 Bf4 h5 e3 e5 Bxe5</t>
  </si>
  <si>
    <t>fwn</t>
  </si>
  <si>
    <t>d4 d5 Bf4 h5 e3 e5 Bxe5 FEN=fwn</t>
  </si>
  <si>
    <t>d4 d5 Bf4 h5 e3 e5 dxe5</t>
  </si>
  <si>
    <t>kie</t>
  </si>
  <si>
    <t>d4 d5 Bf4 h5 e3 e5 dxe5 FEN=kie</t>
  </si>
  <si>
    <t>d4 d5 Bf4 h5 Nf3</t>
  </si>
  <si>
    <t>rgw</t>
  </si>
  <si>
    <t>d4 d5 Bf4 h5 Nf3 FEN=rgw</t>
  </si>
  <si>
    <t>d4 d5 Bf4 h5 Nf3 Nf6 e3</t>
  </si>
  <si>
    <t>nho</t>
  </si>
  <si>
    <t>d4 d5 Bf4 h5 Nf3 Nf6 e3 FEN=nho</t>
  </si>
  <si>
    <t>d4 d5 Bf4 h5 Nf3 Nf6 h3</t>
  </si>
  <si>
    <t>siz</t>
  </si>
  <si>
    <t>d4 d5 Bf4 h5 Nf3 Nf6 h3 FEN=siz</t>
  </si>
  <si>
    <t>d4 d5 Bf4 h5 Nf3 Nf6 Nbd2</t>
  </si>
  <si>
    <t>uwr</t>
  </si>
  <si>
    <t>d4 d5 Bf4 h5 Nf3 Nf6 Nbd2 FEN=uwr</t>
  </si>
  <si>
    <t>d4 d5 Bf4 h5 h3</t>
  </si>
  <si>
    <t>gyk</t>
  </si>
  <si>
    <t>d4 d5 Bf4 h5 h3 FEN=gyk</t>
  </si>
  <si>
    <t>d4 d5 Bf4 h5 h3 c5 e3</t>
  </si>
  <si>
    <t>bxo</t>
  </si>
  <si>
    <t>d4 d5 Bf4 h5 h3 c5 e3 FEN=bxo</t>
  </si>
  <si>
    <t>d4 d5 Bf4 h5 h3 c5 c3</t>
  </si>
  <si>
    <t>dll</t>
  </si>
  <si>
    <t>d4 d5 Bf4 h5 h3 c5 c3 FEN=dll</t>
  </si>
  <si>
    <t>d4 d5 Bf4 h5 h3 c5 dxc5</t>
  </si>
  <si>
    <t>tiz</t>
  </si>
  <si>
    <t>d4 d5 Bf4 h5 h3 c5 dxc5 FEN=tiz</t>
  </si>
  <si>
    <t>d4 d5 Bf4 h5 h3 c5 Nf3</t>
  </si>
  <si>
    <t>dcm</t>
  </si>
  <si>
    <t>d4 d5 Bf4 h5 h3 c5 Nf3 FEN=dcm</t>
  </si>
  <si>
    <t>d4 d5 Bf4 h5 h4</t>
  </si>
  <si>
    <t>rdm</t>
  </si>
  <si>
    <t>d4 d5 Bf4 h5 h4 FEN=rdm</t>
  </si>
  <si>
    <t>d4 d5 Bf4 h5 h4 c5 e3</t>
  </si>
  <si>
    <t>cbv</t>
  </si>
  <si>
    <t>d4 d5 Bf4 h5 h4 c5 e3 FEN=cbv</t>
  </si>
  <si>
    <t>d4 d5 Bf4 h5 h4 c5 c3</t>
  </si>
  <si>
    <t>utl</t>
  </si>
  <si>
    <t>d4 d5 Bf4 h5 h4 c5 c3 FEN=utl</t>
  </si>
  <si>
    <t>d4 d5 Bf4 h5 h4 c5 dxc5</t>
  </si>
  <si>
    <t>sgw</t>
  </si>
  <si>
    <t>d4 d5 Bf4 h5 h4 c5 dxc5 FEN=sgw</t>
  </si>
  <si>
    <t>d4 d5 Bf4 h5 h4 c5 Nf3</t>
  </si>
  <si>
    <t>crj</t>
  </si>
  <si>
    <t>d4 d5 Bf4 h5 h4 c5 Nf3 FEN=crj</t>
  </si>
  <si>
    <t>d4 d5 Bf4 h5 Nc3</t>
  </si>
  <si>
    <t>hex</t>
  </si>
  <si>
    <t>d4 d5 Bf4 h5 Nc3 FEN=hex</t>
  </si>
  <si>
    <t>d4 d5 Bf4 h5 Nc3 Bf5 e3</t>
  </si>
  <si>
    <t>nba</t>
  </si>
  <si>
    <t>d4 d5 Bf4 h5 Nc3 Bf5 e3 FEN=nba</t>
  </si>
  <si>
    <t>d4 d5 Bf4 h5 Nc3 Bf5 Nb5</t>
  </si>
  <si>
    <t>dvx</t>
  </si>
  <si>
    <t>d4 d5 Bf4 h5 Nc3 Bf5 Nb5 FEN=dvx</t>
  </si>
  <si>
    <t>d4 d5 Bf4 h5 Nc3 Bf5 Nf3</t>
  </si>
  <si>
    <t>rcs</t>
  </si>
  <si>
    <t>d4 d5 Bf4 h5 Nc3 Bf5 Nf3 FEN=rcs</t>
  </si>
  <si>
    <t>d4 d5 Bf4 h5 Nc3 Bf5 h3</t>
  </si>
  <si>
    <t>qta</t>
  </si>
  <si>
    <t>d4 d5 Bf4 h5 Nc3 Bf5 h3 FEN=qta</t>
  </si>
  <si>
    <t>d4 d5 Bf4 h5 Nc3 Bf5 f3</t>
  </si>
  <si>
    <t>cgh</t>
  </si>
  <si>
    <t>d4 d5 Bf4 h5 Nc3 Bf5 f3 FEN=cgh</t>
  </si>
  <si>
    <t>d4 d5 Nf3</t>
  </si>
  <si>
    <t>tuf</t>
  </si>
  <si>
    <t>d4 d5 Nf3 FEN=tuf</t>
  </si>
  <si>
    <t>d4 d5 Nf3 c6 Bf4</t>
  </si>
  <si>
    <t>rxh</t>
  </si>
  <si>
    <t>d4 d5 Nf3 c6 Bf4 FEN=rxh</t>
  </si>
  <si>
    <t>d4 d5 Nf3 c6 Bf4 Bg4 e3</t>
  </si>
  <si>
    <t>rhv</t>
  </si>
  <si>
    <t>d4 d5 Nf3 c6 Bf4 Bg4 e3 FEN=rhv</t>
  </si>
  <si>
    <t>d4 d5 Nf3 c6 Bf4 Bg4 Nbd2</t>
  </si>
  <si>
    <t>fom</t>
  </si>
  <si>
    <t>d4 d5 Nf3 c6 Bf4 Bg4 Nbd2 FEN=fom</t>
  </si>
  <si>
    <t>d4 d5 Nf3 c6 Bf4 Bg4 Ne5</t>
  </si>
  <si>
    <t>iuw</t>
  </si>
  <si>
    <t>d4 d5 Nf3 c6 Bf4 Bg4 Ne5 FEN=iuw</t>
  </si>
  <si>
    <t>d4 d5 Nf3 c6 Bf4 Bg4 h3</t>
  </si>
  <si>
    <t>kyy</t>
  </si>
  <si>
    <t>d4 d5 Nf3 c6 Bf4 Bg4 h3 FEN=kyy</t>
  </si>
  <si>
    <t>d4 d5 Nf3 c6 e3</t>
  </si>
  <si>
    <t>eqp</t>
  </si>
  <si>
    <t>d4 d5 Nf3 c6 e3 FEN=eqp</t>
  </si>
  <si>
    <t>d4 d5 Nf3 c6 e3 Bg4 Be2</t>
  </si>
  <si>
    <t>deu</t>
  </si>
  <si>
    <t>d4 d5 Nf3 c6 e3 Bg4 Be2 FEN=deu</t>
  </si>
  <si>
    <t>d4 d5 Nf3 c6 e3 Bg4 c4</t>
  </si>
  <si>
    <t>ntc</t>
  </si>
  <si>
    <t>d4 d5 Nf3 c6 e3 Bg4 c4 FEN=ntc</t>
  </si>
  <si>
    <t>d4 d5 Nf3 c6 e3 Bg4 Nbd2</t>
  </si>
  <si>
    <t>fzv</t>
  </si>
  <si>
    <t>d4 d5 Nf3 c6 e3 Bg4 Nbd2 FEN=fzv</t>
  </si>
  <si>
    <t>d4 d5 Nf3 c6 e3 Bg4 Bd3</t>
  </si>
  <si>
    <t>cyb</t>
  </si>
  <si>
    <t>d4 d5 Nf3 c6 e3 Bg4 Bd3 FEN=cyb</t>
  </si>
  <si>
    <t>d4 d5 Nf3 c6 e3 Bg4 h3</t>
  </si>
  <si>
    <t>mmt</t>
  </si>
  <si>
    <t>d4 d5 Nf3 c6 e3 Bg4 h3 FEN=mmt</t>
  </si>
  <si>
    <t>d4 d5 Nf3 c6 c4</t>
  </si>
  <si>
    <t>gup</t>
  </si>
  <si>
    <t>d4 d5 Nf3 c6 c4 FEN=gup</t>
  </si>
  <si>
    <t>d4 d5 Nf3 c6 c4 a6 Nc3</t>
  </si>
  <si>
    <t>eie</t>
  </si>
  <si>
    <t>d4 d5 Nf3 c6 c4 a6 Nc3 FEN=eie</t>
  </si>
  <si>
    <t>d4 d5 Nf3 c6 c4 a6 e3</t>
  </si>
  <si>
    <t>sns</t>
  </si>
  <si>
    <t>d4 d5 Nf3 c6 c4 a6 e3 FEN=sns</t>
  </si>
  <si>
    <t>d4 d5 Nf3 c6 c4 a6 cxd5</t>
  </si>
  <si>
    <t>rix</t>
  </si>
  <si>
    <t>d4 d5 Nf3 c6 c4 a6 cxd5 FEN=rix</t>
  </si>
  <si>
    <t>d4 d5 Nf3 c6 c4 a6 g3</t>
  </si>
  <si>
    <t>mlh</t>
  </si>
  <si>
    <t>d4 d5 Nf3 c6 c4 a6 g3 FEN=mlh</t>
  </si>
  <si>
    <t>d4 d5 Nf3 c6 c4 a6 Bf4</t>
  </si>
  <si>
    <t>muo</t>
  </si>
  <si>
    <t>d4 d5 Nf3 c6 c4 a6 Bf4 FEN=muo</t>
  </si>
  <si>
    <t>d4 d5 Nf3 c6 c4 a6 a4</t>
  </si>
  <si>
    <t>hxr</t>
  </si>
  <si>
    <t>d4 d5 Nf3 c6 c4 a6 a4 FEN=hxr</t>
  </si>
  <si>
    <t>d4 d5 Nf3 c6 g3</t>
  </si>
  <si>
    <t>oqi</t>
  </si>
  <si>
    <t>d4 d5 Nf3 c6 g3 FEN=oqi</t>
  </si>
  <si>
    <t>d4 d5 Nf3 c6 g3 Bf5 Bg2</t>
  </si>
  <si>
    <t>rav</t>
  </si>
  <si>
    <t>d4 d5 Nf3 c6 g3 Bf5 Bg2 FEN=rav</t>
  </si>
  <si>
    <t>d4 d5 Nf3 c6 Nc3</t>
  </si>
  <si>
    <t>bhb</t>
  </si>
  <si>
    <t>d4 d5 Nf3 c6 Nc3 FEN=bhb</t>
  </si>
  <si>
    <t>d4 d5 Nf3 c6 Nc3 Bf5 Bf4</t>
  </si>
  <si>
    <t>zkm</t>
  </si>
  <si>
    <t>d4 d5 Nf3 c6 Nc3 Bf5 Bf4 FEN=zkm</t>
  </si>
  <si>
    <t>d4 d5 Nf3 c6 Nc3 Bf5 e3</t>
  </si>
  <si>
    <t>icg</t>
  </si>
  <si>
    <t>d4 d5 Nf3 c6 Nc3 Bf5 e3 FEN=icg</t>
  </si>
  <si>
    <t>d4 d5 Nf3 c6 Nc3 Bf5 h3</t>
  </si>
  <si>
    <t>swk</t>
  </si>
  <si>
    <t>d4 d5 Nf3 c6 Nc3 Bf5 h3 FEN=swk</t>
  </si>
  <si>
    <t>d4 d5 e3</t>
  </si>
  <si>
    <t>xpc</t>
  </si>
  <si>
    <t>d4 d5 e3 FEN=xpc</t>
  </si>
  <si>
    <t>d4 d5 e3 Bf5 Bd3</t>
  </si>
  <si>
    <t>yry</t>
  </si>
  <si>
    <t>d4 d5 e3 Bf5 Bd3 FEN=yry</t>
  </si>
  <si>
    <t>d4 d5 e3 Bf5 Bd3 e6 Bxf5</t>
  </si>
  <si>
    <t>eev</t>
  </si>
  <si>
    <t>d4 d5 e3 Bf5 Bd3 e6 Bxf5 FEN=eev</t>
  </si>
  <si>
    <t>d4 d5 e3 Bf5 Bd3 e6 f4</t>
  </si>
  <si>
    <t>iqt</t>
  </si>
  <si>
    <t>d4 d5 e3 Bf5 Bd3 e6 f4 FEN=iqt</t>
  </si>
  <si>
    <t>d4 d5 e3 Bf5 Bd3 e6 Nf3</t>
  </si>
  <si>
    <t>prf</t>
  </si>
  <si>
    <t>d4 d5 e3 Bf5 Bd3 e6 Nf3 FEN=prf</t>
  </si>
  <si>
    <t>d4 d5 e3 Bf5 c4</t>
  </si>
  <si>
    <t>loq</t>
  </si>
  <si>
    <t>d4 d5 e3 Bf5 c4 FEN=loq</t>
  </si>
  <si>
    <t>d4 d5 e3 Bf5 c4 e6 Nc3</t>
  </si>
  <si>
    <t>odh</t>
  </si>
  <si>
    <t>d4 d5 e3 Bf5 c4 e6 Nc3 FEN=odh</t>
  </si>
  <si>
    <t>d4 d5 e3 Bf5 c4 e6 a3</t>
  </si>
  <si>
    <t>hsh</t>
  </si>
  <si>
    <t>d4 d5 e3 Bf5 c4 e6 a3 FEN=hsh</t>
  </si>
  <si>
    <t>d4 d5 e3 Bf5 c4 e6 Nf3</t>
  </si>
  <si>
    <t>hck</t>
  </si>
  <si>
    <t>d4 d5 e3 Bf5 c4 e6 Nf3 FEN=hck</t>
  </si>
  <si>
    <t>d4 d5 e3 Bf5 c4 e6 cxd5</t>
  </si>
  <si>
    <t>ubh</t>
  </si>
  <si>
    <t>d4 d5 e3 Bf5 c4 e6 cxd5 FEN=ubh</t>
  </si>
  <si>
    <t>d4 d5 e3 Bf5 c4 e6 c5</t>
  </si>
  <si>
    <t>acw</t>
  </si>
  <si>
    <t>d4 d5 e3 Bf5 c4 e6 c5 FEN=acw</t>
  </si>
  <si>
    <t>d4 d5 e3 Bf5 c4 e6 Qb3</t>
  </si>
  <si>
    <t>asr</t>
  </si>
  <si>
    <t>d4 d5 e3 Bf5 c4 e6 Qb3 FEN=asr</t>
  </si>
  <si>
    <t>d4 d5 e3 Bf5 Nf3</t>
  </si>
  <si>
    <t>ngr</t>
  </si>
  <si>
    <t>d4 d5 e3 Bf5 Nf3 FEN=ngr</t>
  </si>
  <si>
    <t>d4 d5 e3 Bf5 Nf3 e6 Bd3</t>
  </si>
  <si>
    <t>d4 d5 e3 Bf5 Nf3 e6 Bd3 FEN=prf</t>
  </si>
  <si>
    <t>d4 d5 e3 Bf5 Nf3 e6 c4</t>
  </si>
  <si>
    <t>d4 d5 e3 Bf5 Nf3 e6 c4 FEN=hck</t>
  </si>
  <si>
    <t>d4 d5 e3 Bf5 Nf3 e6 a3</t>
  </si>
  <si>
    <t>mvu</t>
  </si>
  <si>
    <t>d4 d5 e3 Bf5 Nf3 e6 a3 FEN=mvu</t>
  </si>
  <si>
    <t>d4 d5 e3 Bf5 Nf3 e6 Be2</t>
  </si>
  <si>
    <t>yxw</t>
  </si>
  <si>
    <t>d4 d5 e3 Bf5 Nf3 e6 Be2 FEN=yxw</t>
  </si>
  <si>
    <t>d4 d5 e3 Bf5 Nf3 e6 Nbd2</t>
  </si>
  <si>
    <t>gwj</t>
  </si>
  <si>
    <t>d4 d5 e3 Bf5 Nf3 e6 Nbd2 FEN=gwj</t>
  </si>
  <si>
    <t>d4 d5 e3 Bf5 f4</t>
  </si>
  <si>
    <t>cbk</t>
  </si>
  <si>
    <t>d4 d5 e3 Bf5 f4 FEN=cbk</t>
  </si>
  <si>
    <t>d4 d5 e3 Bf5 f4 e6 Nf3</t>
  </si>
  <si>
    <t>cqh</t>
  </si>
  <si>
    <t>d4 d5 e3 Bf5 f4 e6 Nf3 FEN=cqh</t>
  </si>
  <si>
    <t>d4 d5 e3 Bf5 f4 e6 Bd3</t>
  </si>
  <si>
    <t>d4 d5 e3 Bf5 f4 e6 Bd3 FEN=iqt</t>
  </si>
  <si>
    <t>d4 d5 e3 Bf5 f4 e6 c3</t>
  </si>
  <si>
    <t>ivp</t>
  </si>
  <si>
    <t>d4 d5 e3 Bf5 f4 e6 c3 FEN=ivp</t>
  </si>
  <si>
    <t>d4 d5 Nc3</t>
  </si>
  <si>
    <t>hyj</t>
  </si>
  <si>
    <t>d4 d5 Nc3 FEN=hyj</t>
  </si>
  <si>
    <t>d4 d5 Nc3 c6 Bf4</t>
  </si>
  <si>
    <t>chd</t>
  </si>
  <si>
    <t>d4 d5 Nc3 c6 Bf4 FEN=chd</t>
  </si>
  <si>
    <t>d4 d5 Nc3 c6 Bf4 Qb6 Rb1</t>
  </si>
  <si>
    <t>ulf</t>
  </si>
  <si>
    <t>d4 d5 Nc3 c6 Bf4 Qb6 Rb1 FEN=ulf</t>
  </si>
  <si>
    <t>d4 d5 Nc3 c6 Bf4 Qb6 Na4</t>
  </si>
  <si>
    <t>mio</t>
  </si>
  <si>
    <t>d4 d5 Nc3 c6 Bf4 Qb6 Na4 FEN=mio</t>
  </si>
  <si>
    <t>d4 d5 Nc3 c6 Bf4 Qb6 b3</t>
  </si>
  <si>
    <t>viw</t>
  </si>
  <si>
    <t>d4 d5 Nc3 c6 Bf4 Qb6 b3 FEN=viw</t>
  </si>
  <si>
    <t>d4 d5 Nc3 c6 Bf4 Qb6 e3</t>
  </si>
  <si>
    <t>vuc</t>
  </si>
  <si>
    <t>d4 d5 Nc3 c6 Bf4 Qb6 e3 FEN=vuc</t>
  </si>
  <si>
    <t>d4 d5 Nc3 c6 Bf4 Qb6 a3</t>
  </si>
  <si>
    <t>llg</t>
  </si>
  <si>
    <t>d4 d5 Nc3 c6 Bf4 Qb6 a3 FEN=llg</t>
  </si>
  <si>
    <t>d4 d5 Nc3 c6 e4</t>
  </si>
  <si>
    <t>d4 d5 Nc3 c6 e4 FEN=qfb</t>
  </si>
  <si>
    <t>d4 d5 Nc3 c6 Nf3</t>
  </si>
  <si>
    <t>d4 d5 Nc3 c6 Nf3 FEN=bhb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</si>
</sst>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1">
    <font>
      <sz val="10"/>
      <name val="Arial"/>
      <family val="2"/>
      <charset val="1"/>
    </font>
    <font>
      <sz val="11"/>
      <color rgb="FFE6E6E6"/>
      <name val="Carlito"/>
      <charset val="1"/>
    </font>
    <font>
      <sz val="10"/>
      <color rgb="FFE6E6E6"/>
      <name val="Carlito"/>
      <charset val="1"/>
    </font>
    <font>
      <sz val="12"/>
      <color rgb="FFF5F5F5"/>
      <name val="Carlito"/>
      <charset val="1"/>
    </font>
    <font>
      <sz val="12"/>
      <color rgb="FFE6E6E6"/>
      <name val="Carlito"/>
      <charset val="1"/>
    </font>
    <font>
      <sz val="12"/>
      <name val="Carlito"/>
      <charset val="1"/>
    </font>
    <font>
      <sz val="12"/>
      <color rgb="FF9A9A9A"/>
      <name val="Carlito"/>
      <charset val="1"/>
    </font>
    <font>
      <sz val="12"/>
      <color rgb="FFE6E6E6"/>
      <name val="Consolas"/>
      <family val="3"/>
      <charset val="204"/>
    </font>
    <font>
      <sz val="10"/>
      <name val="Arial"/>
      <family val="2"/>
      <charset val="204"/>
    </font>
    <font>
      <sz val="12"/>
      <name val="Carlito"/>
      <family val="2"/>
      <charset val="1"/>
    </font>
    <font>
      <b/>
      <sz val="12"/>
      <color rgb="FFF5F5F5"/>
      <name val="Carlito"/>
      <charset val="1"/>
    </font>
  </fonts>
  <fills count="4">
    <fill>
      <patternFill patternType="none"/>
    </fill>
    <fill>
      <patternFill patternType="gray125"/>
    </fill>
    <fill>
      <patternFill patternType="solid">
        <fgColor rgb="FF1E1E1E"/>
        <bgColor rgb="FF262626"/>
      </patternFill>
    </fill>
    <fill>
      <patternFill patternType="solid">
        <fgColor rgb="FF262626"/>
        <bgColor rgb="FF1E1E1E"/>
      </patternFill>
    </fill>
  </fills>
  <borders count="8">
    <border>
      <left/>
      <right/>
      <top/>
      <bottom/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medium">
        <color rgb="FF6E6E6E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rgb="FF3A3A3A"/>
      </left>
      <right style="thin">
        <color rgb="FF6E6E6E"/>
      </right>
      <top style="thin">
        <color rgb="FF3A3A3A"/>
      </top>
      <bottom style="thin">
        <color rgb="FF3A3A3A"/>
      </bottom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  <border>
      <left style="thin">
        <color rgb="FF6E6E6E"/>
      </left>
      <right style="thin">
        <color rgb="FF6E6E6E"/>
      </right>
      <top style="thin">
        <color rgb="FF3A3A3A"/>
      </top>
      <bottom style="thin">
        <color rgb="FF3A3A3A"/>
      </bottom>
      <diagonal/>
    </border>
    <border>
      <left style="thin">
        <color rgb="FF6E6E6E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rgb="FF3A3A3A"/>
      </left>
      <right style="thin">
        <color rgb="FF3A3A3A"/>
      </right>
      <top style="medium">
        <color rgb="FF6E6E6E"/>
      </top>
      <bottom style="thin">
        <color rgb="FF3A3A3A"/>
      </bottom>
      <diagonal/>
    </border>
  </borders>
  <cellStyleXfs count="2">
    <xf numFmtId="0" fontId="0" fillId="0" borderId="0"/>
    <xf numFmtId="9" fontId="8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right" vertical="center"/>
    </xf>
    <xf numFmtId="164" fontId="4" fillId="2" borderId="3" xfId="1" applyNumberFormat="1" applyFont="1" applyFill="1" applyBorder="1" applyAlignment="1">
      <alignment horizontal="right" vertical="center"/>
    </xf>
    <xf numFmtId="164" fontId="4" fillId="3" borderId="4" xfId="1" applyNumberFormat="1" applyFont="1" applyFill="1" applyBorder="1" applyAlignment="1" applyProtection="1">
      <alignment horizontal="right" vertical="center"/>
      <protection locked="0"/>
    </xf>
    <xf numFmtId="164" fontId="4" fillId="2" borderId="5" xfId="1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 applyProtection="1">
      <alignment vertical="center" wrapText="1"/>
      <protection locked="0"/>
    </xf>
    <xf numFmtId="0" fontId="6" fillId="2" borderId="6" xfId="0" applyFont="1" applyFill="1" applyBorder="1"/>
    <xf numFmtId="0" fontId="9" fillId="2" borderId="0" xfId="0" applyFont="1" applyFill="1"/>
    <xf numFmtId="0" fontId="10" fillId="2" borderId="7" xfId="0" applyFont="1" applyFill="1" applyBorder="1"/>
    <xf numFmtId="0" fontId="4" fillId="2" borderId="7" xfId="0" applyFont="1" applyFill="1" applyBorder="1"/>
    <xf numFmtId="164" fontId="4" fillId="2" borderId="7" xfId="1" applyNumberFormat="1" applyFont="1" applyFill="1" applyBorder="1"/>
    <xf numFmtId="164" fontId="3" fillId="3" borderId="7" xfId="1" applyNumberFormat="1" applyFont="1" applyFill="1" applyBorder="1"/>
    <xf numFmtId="0" fontId="4" fillId="2" borderId="0" xfId="0" applyFont="1" applyFill="1"/>
  </cellXfs>
  <cellStyles count="2">
    <cellStyle name="Normal" xfId="0" builtinId="0"/>
    <cellStyle name="Percent" xfId="1" builtinId="5"/>
  </cellStyles>
  <dxfs count="3">
    <dxf>
      <font>
        <strike val="0"/>
        <color rgb="FFFF9E9E"/>
      </font>
      <fill>
        <patternFill>
          <bgColor rgb="FF5C1F1F"/>
        </patternFill>
      </fill>
    </dxf>
    <dxf>
      <font>
        <color rgb="FFE9C3A8"/>
      </font>
      <fill>
        <patternFill>
          <bgColor rgb="FF402614"/>
        </patternFill>
      </fill>
    </dxf>
    <dxf>
      <font>
        <color rgb="FFCFC9FF"/>
      </font>
      <fill>
        <patternFill>
          <bgColor rgb="FF33305C"/>
        </patternFill>
      </fill>
    </dxf>
  </dxfs>
  <tableStyles count="0" defaultTableStyle="TableStyleMedium2" defaultPivotStyle="PivotStyleLight16"/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5C1F1F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FC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E9E"/>
      <rgbColor rgb="FFCC99FF"/>
      <rgbColor rgb="FFE9C3A8"/>
      <rgbColor rgb="FF3366FF"/>
      <rgbColor rgb="FF33CCCC"/>
      <rgbColor rgb="FF99CC00"/>
      <rgbColor rgb="FFFFCC00"/>
      <rgbColor rgb="FFFF9900"/>
      <rgbColor rgb="FFFF6600"/>
      <rgbColor rgb="FF6E6E6E"/>
      <rgbColor rgb="FF9A9A9A"/>
      <rgbColor rgb="FF262626"/>
      <rgbColor rgb="FF339966"/>
      <rgbColor rgb="FF1E1E1E"/>
      <rgbColor rgb="FF402614"/>
      <rgbColor rgb="FF993300"/>
      <rgbColor rgb="FF993366"/>
      <rgbColor rgb="FF33305C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9"/>
  <sheetViews>
    <sheetView showGridLines="0" tabSelected="1" topLeftCell="B1" zoomScale="115" zoomScaleNormal="115" workbookViewId="0">
      <pane ySplit="1" topLeftCell="A2" activePane="bottomLeft" state="frozen"/>
      <selection activeCell="F1" sqref="F1"/>
      <selection pane="bottomLeft" activeCell="B3" sqref="B3"/>
    </sheetView>
  </sheetViews>
  <sheetFormatPr defaultColWidth="8.6640625" defaultRowHeight="13.8"/>
  <cols>
    <col min="1" max="1" width="6.88671875" style="1" hidden="1" customWidth="1"/>
    <col min="2" max="2" width="8.6640625" style="1"/>
    <col min="3" max="3" width="9.21875" style="1" hidden="1" customWidth="1"/>
    <col min="4" max="4" width="31" style="1" customWidth="1"/>
    <col min="5" max="5" width="6.88671875" style="1" customWidth="1"/>
    <col min="6" max="6" width="13.5546875" style="1" customWidth="1"/>
    <col min="7" max="7" width="6.88671875" style="1" customWidth="1"/>
    <col min="8" max="8" width="13.6640625" style="1" hidden="1" customWidth="1"/>
    <col min="9" max="9" width="11.33203125" style="1" customWidth="1"/>
    <col min="10" max="10" width="13.33203125" style="1" customWidth="1"/>
    <col min="11" max="11" width="13.21875" style="1" customWidth="1"/>
    <col min="12" max="12" width="21.109375" style="1" customWidth="1"/>
    <col min="13" max="19" width="10" style="1" customWidth="1"/>
    <col min="20" max="20" width="15.109375" style="1" customWidth="1"/>
    <col min="21" max="22" width="13.109375" style="1" customWidth="1"/>
    <col min="23" max="23" width="24" style="1" customWidth="1"/>
    <col min="24" max="24" width="42" style="1" customWidth="1"/>
    <col min="25" max="39" width="11.5546875" style="1" customWidth="1"/>
    <col min="40" max="16384" width="8.6640625" style="2"/>
  </cols>
  <sheetData>
    <row r="1" spans="1:34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15" customHeight="1">
      <c r="A2" s="6">
        <v>2</v>
      </c>
      <c r="B2" s="7">
        <v>1</v>
      </c>
      <c r="C2" s="6" t="str">
        <f t="shared" ref="C2:C33" si="0">REPT(" ",B2)&amp;TRIM(RIGHT(SUBSTITUTE(D2," ",REPT(" ",99)),99))</f>
        <v xml:space="preserve"> e4</v>
      </c>
      <c r="D2" s="8" t="s">
        <v>24</v>
      </c>
      <c r="E2" s="9" t="s">
        <v>25</v>
      </c>
      <c r="F2" s="10"/>
      <c r="G2" s="10"/>
      <c r="H2" s="7"/>
      <c r="I2" s="11" t="b">
        <f>FALSE()</f>
        <v>0</v>
      </c>
      <c r="J2" s="12">
        <v>0.72287999999999997</v>
      </c>
      <c r="K2" s="12">
        <v>0.72287999999999997</v>
      </c>
      <c r="L2" s="13">
        <v>0.72287999999999997</v>
      </c>
      <c r="M2" s="14"/>
      <c r="N2" s="14"/>
      <c r="O2" s="14"/>
      <c r="P2" s="14"/>
      <c r="Q2" s="14"/>
      <c r="R2" s="14"/>
      <c r="S2" s="14"/>
      <c r="T2" s="15">
        <f t="shared" ref="T2:T33" si="1">L2+SUM(M2:S2)</f>
        <v>0.72287999999999997</v>
      </c>
      <c r="U2" s="14"/>
      <c r="V2" s="15" t="str">
        <f t="shared" ref="V2:V33" si="2">IF(U2="","",T2-U2)</f>
        <v/>
      </c>
      <c r="W2" s="16"/>
      <c r="X2" s="17" t="s">
        <v>26</v>
      </c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 spans="1:34" ht="15" customHeight="1">
      <c r="A3" s="6">
        <v>3</v>
      </c>
      <c r="B3" s="7">
        <v>2</v>
      </c>
      <c r="C3" s="6" t="str">
        <f t="shared" si="0"/>
        <v xml:space="preserve">  d4</v>
      </c>
      <c r="D3" s="8" t="s">
        <v>27</v>
      </c>
      <c r="E3" s="9" t="s">
        <v>28</v>
      </c>
      <c r="F3" s="10"/>
      <c r="G3" s="10"/>
      <c r="H3" s="7">
        <v>2</v>
      </c>
      <c r="I3" s="11" t="b">
        <f>FALSE()</f>
        <v>0</v>
      </c>
      <c r="J3" s="12">
        <v>0.56037999999999999</v>
      </c>
      <c r="K3" s="12">
        <v>0.40509000000000001</v>
      </c>
      <c r="L3" s="13">
        <v>0.40509000000000001</v>
      </c>
      <c r="M3" s="14"/>
      <c r="N3" s="14"/>
      <c r="O3" s="14"/>
      <c r="P3" s="14"/>
      <c r="Q3" s="14"/>
      <c r="R3" s="14"/>
      <c r="S3" s="14"/>
      <c r="T3" s="15">
        <f t="shared" si="1"/>
        <v>0.40509000000000001</v>
      </c>
      <c r="U3" s="14"/>
      <c r="V3" s="15" t="str">
        <f t="shared" si="2"/>
        <v/>
      </c>
      <c r="W3" s="16"/>
      <c r="X3" s="17" t="s">
        <v>29</v>
      </c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spans="1:34" ht="15" customHeight="1">
      <c r="A4" s="6">
        <v>4</v>
      </c>
      <c r="B4" s="7">
        <v>3</v>
      </c>
      <c r="C4" s="6" t="str">
        <f t="shared" si="0"/>
        <v xml:space="preserve">   e5</v>
      </c>
      <c r="D4" s="8" t="s">
        <v>30</v>
      </c>
      <c r="E4" s="9" t="s">
        <v>31</v>
      </c>
      <c r="F4" s="10"/>
      <c r="G4" s="10"/>
      <c r="H4" s="7">
        <v>3</v>
      </c>
      <c r="I4" s="11" t="b">
        <f>FALSE()</f>
        <v>0</v>
      </c>
      <c r="J4" s="12">
        <v>0.47416000000000003</v>
      </c>
      <c r="K4" s="12">
        <v>0.19208</v>
      </c>
      <c r="L4" s="13">
        <v>0.19208</v>
      </c>
      <c r="M4" s="14"/>
      <c r="N4" s="14"/>
      <c r="O4" s="14"/>
      <c r="P4" s="14"/>
      <c r="Q4" s="14"/>
      <c r="R4" s="14"/>
      <c r="S4" s="14"/>
      <c r="T4" s="15">
        <f t="shared" si="1"/>
        <v>0.19208</v>
      </c>
      <c r="U4" s="14"/>
      <c r="V4" s="15" t="str">
        <f t="shared" si="2"/>
        <v/>
      </c>
      <c r="W4" s="16"/>
      <c r="X4" s="17" t="s">
        <v>32</v>
      </c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15" customHeight="1">
      <c r="A5" s="6">
        <v>5</v>
      </c>
      <c r="B5" s="7">
        <v>4</v>
      </c>
      <c r="C5" s="6" t="str">
        <f t="shared" si="0"/>
        <v xml:space="preserve">    Nf3</v>
      </c>
      <c r="D5" s="8" t="s">
        <v>33</v>
      </c>
      <c r="E5" s="9" t="s">
        <v>34</v>
      </c>
      <c r="F5" s="10"/>
      <c r="G5" s="10"/>
      <c r="H5" s="7">
        <v>4</v>
      </c>
      <c r="I5" s="11" t="b">
        <f>TRUE()</f>
        <v>1</v>
      </c>
      <c r="J5" s="12">
        <v>0.43472</v>
      </c>
      <c r="K5" s="12">
        <v>8.3500000000000005E-2</v>
      </c>
      <c r="L5" s="13">
        <v>8.3500000000000005E-2</v>
      </c>
      <c r="M5" s="14"/>
      <c r="N5" s="14"/>
      <c r="O5" s="14"/>
      <c r="P5" s="14"/>
      <c r="Q5" s="14"/>
      <c r="R5" s="14"/>
      <c r="S5" s="14"/>
      <c r="T5" s="15">
        <f t="shared" si="1"/>
        <v>8.3500000000000005E-2</v>
      </c>
      <c r="U5" s="14"/>
      <c r="V5" s="15" t="str">
        <f t="shared" si="2"/>
        <v/>
      </c>
      <c r="W5" s="16"/>
      <c r="X5" s="17" t="s">
        <v>35</v>
      </c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spans="1:34" ht="15" customHeight="1">
      <c r="A6" s="6">
        <v>6</v>
      </c>
      <c r="B6" s="7">
        <v>4</v>
      </c>
      <c r="C6" s="6" t="str">
        <f t="shared" si="0"/>
        <v xml:space="preserve">    f4</v>
      </c>
      <c r="D6" s="8" t="s">
        <v>36</v>
      </c>
      <c r="E6" s="9" t="s">
        <v>37</v>
      </c>
      <c r="F6" s="10"/>
      <c r="G6" s="10"/>
      <c r="H6" s="7">
        <v>4</v>
      </c>
      <c r="I6" s="11" t="b">
        <f>TRUE()</f>
        <v>1</v>
      </c>
      <c r="J6" s="12">
        <v>0.14946000000000001</v>
      </c>
      <c r="K6" s="12">
        <v>2.8709999999999999E-2</v>
      </c>
      <c r="L6" s="13">
        <v>2.8709999999999999E-2</v>
      </c>
      <c r="M6" s="14"/>
      <c r="N6" s="14"/>
      <c r="O6" s="14"/>
      <c r="P6" s="14"/>
      <c r="Q6" s="14"/>
      <c r="R6" s="14"/>
      <c r="S6" s="14"/>
      <c r="T6" s="15">
        <f t="shared" si="1"/>
        <v>2.8709999999999999E-2</v>
      </c>
      <c r="U6" s="14"/>
      <c r="V6" s="15" t="str">
        <f t="shared" si="2"/>
        <v/>
      </c>
      <c r="W6" s="16"/>
      <c r="X6" s="17" t="s">
        <v>38</v>
      </c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spans="1:34" ht="15" customHeight="1">
      <c r="A7" s="6">
        <v>7</v>
      </c>
      <c r="B7" s="7">
        <v>4</v>
      </c>
      <c r="C7" s="6" t="str">
        <f t="shared" si="0"/>
        <v xml:space="preserve">    Bd3</v>
      </c>
      <c r="D7" s="8" t="s">
        <v>39</v>
      </c>
      <c r="E7" s="9" t="s">
        <v>40</v>
      </c>
      <c r="F7" s="10"/>
      <c r="G7" s="10"/>
      <c r="H7" s="7">
        <v>4</v>
      </c>
      <c r="I7" s="11" t="b">
        <f>TRUE()</f>
        <v>1</v>
      </c>
      <c r="J7" s="12">
        <v>0.13267000000000001</v>
      </c>
      <c r="K7" s="12">
        <v>2.5479999999999999E-2</v>
      </c>
      <c r="L7" s="13">
        <v>2.5479999999999999E-2</v>
      </c>
      <c r="M7" s="14"/>
      <c r="N7" s="14"/>
      <c r="O7" s="14"/>
      <c r="P7" s="14"/>
      <c r="Q7" s="14"/>
      <c r="R7" s="14"/>
      <c r="S7" s="14"/>
      <c r="T7" s="15">
        <f t="shared" si="1"/>
        <v>2.5479999999999999E-2</v>
      </c>
      <c r="U7" s="14"/>
      <c r="V7" s="15" t="str">
        <f t="shared" si="2"/>
        <v/>
      </c>
      <c r="W7" s="16"/>
      <c r="X7" s="17" t="s">
        <v>41</v>
      </c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4" ht="15" customHeight="1">
      <c r="A8" s="6">
        <v>8</v>
      </c>
      <c r="B8" s="7">
        <v>4</v>
      </c>
      <c r="C8" s="6" t="str">
        <f t="shared" si="0"/>
        <v xml:space="preserve">    c4</v>
      </c>
      <c r="D8" s="8" t="s">
        <v>42</v>
      </c>
      <c r="E8" s="9" t="s">
        <v>43</v>
      </c>
      <c r="F8" s="10"/>
      <c r="G8" s="10"/>
      <c r="H8" s="7">
        <v>4</v>
      </c>
      <c r="I8" s="11" t="b">
        <f>TRUE()</f>
        <v>1</v>
      </c>
      <c r="J8" s="12">
        <v>0.10629</v>
      </c>
      <c r="K8" s="12">
        <v>2.0420000000000001E-2</v>
      </c>
      <c r="L8" s="13">
        <v>2.0420000000000001E-2</v>
      </c>
      <c r="M8" s="14"/>
      <c r="N8" s="14"/>
      <c r="O8" s="14"/>
      <c r="P8" s="14"/>
      <c r="Q8" s="14"/>
      <c r="R8" s="14"/>
      <c r="S8" s="14"/>
      <c r="T8" s="15">
        <f t="shared" si="1"/>
        <v>2.0420000000000001E-2</v>
      </c>
      <c r="U8" s="14"/>
      <c r="V8" s="15" t="str">
        <f t="shared" si="2"/>
        <v/>
      </c>
      <c r="W8" s="16"/>
      <c r="X8" s="17" t="s">
        <v>44</v>
      </c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ht="15" customHeight="1">
      <c r="A9" s="6">
        <v>9</v>
      </c>
      <c r="B9" s="7">
        <v>4</v>
      </c>
      <c r="C9" s="6" t="str">
        <f t="shared" si="0"/>
        <v xml:space="preserve">    c3</v>
      </c>
      <c r="D9" s="8" t="s">
        <v>45</v>
      </c>
      <c r="E9" s="9" t="s">
        <v>46</v>
      </c>
      <c r="F9" s="10"/>
      <c r="G9" s="10"/>
      <c r="H9" s="7">
        <v>4</v>
      </c>
      <c r="I9" s="11" t="b">
        <f>TRUE()</f>
        <v>1</v>
      </c>
      <c r="J9" s="12">
        <v>0.10553</v>
      </c>
      <c r="K9" s="12">
        <v>2.027E-2</v>
      </c>
      <c r="L9" s="13">
        <v>2.027E-2</v>
      </c>
      <c r="M9" s="14"/>
      <c r="N9" s="14"/>
      <c r="O9" s="14"/>
      <c r="P9" s="14"/>
      <c r="Q9" s="14"/>
      <c r="R9" s="14"/>
      <c r="S9" s="14"/>
      <c r="T9" s="15">
        <f t="shared" si="1"/>
        <v>2.027E-2</v>
      </c>
      <c r="U9" s="14"/>
      <c r="V9" s="15" t="str">
        <f t="shared" si="2"/>
        <v/>
      </c>
      <c r="W9" s="16"/>
      <c r="X9" s="17" t="s">
        <v>47</v>
      </c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4" ht="15" customHeight="1">
      <c r="A10" s="6">
        <v>10</v>
      </c>
      <c r="B10" s="7">
        <v>4</v>
      </c>
      <c r="C10" s="6" t="str">
        <f t="shared" si="0"/>
        <v xml:space="preserve">    Nc3</v>
      </c>
      <c r="D10" s="8" t="s">
        <v>48</v>
      </c>
      <c r="E10" s="9" t="s">
        <v>49</v>
      </c>
      <c r="F10" s="10"/>
      <c r="G10" s="10"/>
      <c r="H10" s="7">
        <v>4</v>
      </c>
      <c r="I10" s="11" t="b">
        <f>TRUE()</f>
        <v>1</v>
      </c>
      <c r="J10" s="12">
        <v>7.1330000000000005E-2</v>
      </c>
      <c r="K10" s="12">
        <v>1.37E-2</v>
      </c>
      <c r="L10" s="13">
        <v>1.37E-2</v>
      </c>
      <c r="M10" s="14"/>
      <c r="N10" s="14"/>
      <c r="O10" s="14"/>
      <c r="P10" s="14"/>
      <c r="Q10" s="14"/>
      <c r="R10" s="14"/>
      <c r="S10" s="14"/>
      <c r="T10" s="15">
        <f t="shared" si="1"/>
        <v>1.37E-2</v>
      </c>
      <c r="U10" s="14"/>
      <c r="V10" s="15" t="str">
        <f t="shared" si="2"/>
        <v/>
      </c>
      <c r="W10" s="16"/>
      <c r="X10" s="17" t="s">
        <v>50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spans="1:34" ht="15" customHeight="1">
      <c r="A11" s="6">
        <v>11</v>
      </c>
      <c r="B11" s="7">
        <v>3</v>
      </c>
      <c r="C11" s="6" t="str">
        <f t="shared" si="0"/>
        <v xml:space="preserve">   exd5</v>
      </c>
      <c r="D11" s="8" t="s">
        <v>51</v>
      </c>
      <c r="E11" s="9" t="s">
        <v>52</v>
      </c>
      <c r="F11" s="10"/>
      <c r="G11" s="10"/>
      <c r="H11" s="7">
        <v>3</v>
      </c>
      <c r="I11" s="11" t="b">
        <f>FALSE()</f>
        <v>0</v>
      </c>
      <c r="J11" s="12">
        <v>0.29998999999999998</v>
      </c>
      <c r="K11" s="12">
        <v>0.12152</v>
      </c>
      <c r="L11" s="13">
        <v>0.12152</v>
      </c>
      <c r="M11" s="14"/>
      <c r="N11" s="14"/>
      <c r="O11" s="14"/>
      <c r="P11" s="14"/>
      <c r="Q11" s="14"/>
      <c r="R11" s="14"/>
      <c r="S11" s="14"/>
      <c r="T11" s="15">
        <f t="shared" si="1"/>
        <v>0.12152</v>
      </c>
      <c r="U11" s="14"/>
      <c r="V11" s="15" t="str">
        <f t="shared" si="2"/>
        <v/>
      </c>
      <c r="W11" s="16"/>
      <c r="X11" s="17" t="s">
        <v>53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spans="1:34" ht="15" customHeight="1">
      <c r="A12" s="6">
        <v>12</v>
      </c>
      <c r="B12" s="7">
        <v>4</v>
      </c>
      <c r="C12" s="6" t="str">
        <f t="shared" si="0"/>
        <v xml:space="preserve">    Nc3</v>
      </c>
      <c r="D12" s="8" t="s">
        <v>54</v>
      </c>
      <c r="E12" s="9" t="s">
        <v>55</v>
      </c>
      <c r="F12" s="10"/>
      <c r="G12" s="10"/>
      <c r="H12" s="7">
        <v>11</v>
      </c>
      <c r="I12" s="11" t="b">
        <f>TRUE()</f>
        <v>1</v>
      </c>
      <c r="J12" s="12">
        <v>0.44431999999999999</v>
      </c>
      <c r="K12" s="12">
        <v>5.3990000000000003E-2</v>
      </c>
      <c r="L12" s="13">
        <v>5.3990000000000003E-2</v>
      </c>
      <c r="M12" s="14"/>
      <c r="N12" s="14"/>
      <c r="O12" s="14"/>
      <c r="P12" s="14"/>
      <c r="Q12" s="14"/>
      <c r="R12" s="14"/>
      <c r="S12" s="14"/>
      <c r="T12" s="15">
        <f t="shared" si="1"/>
        <v>5.3990000000000003E-2</v>
      </c>
      <c r="U12" s="14"/>
      <c r="V12" s="15" t="str">
        <f t="shared" si="2"/>
        <v/>
      </c>
      <c r="W12" s="16"/>
      <c r="X12" s="17" t="s">
        <v>56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ht="15" customHeight="1">
      <c r="A13" s="6">
        <v>13</v>
      </c>
      <c r="B13" s="7">
        <v>4</v>
      </c>
      <c r="C13" s="6" t="str">
        <f t="shared" si="0"/>
        <v xml:space="preserve">    Nf3</v>
      </c>
      <c r="D13" s="8" t="s">
        <v>57</v>
      </c>
      <c r="E13" s="9" t="s">
        <v>58</v>
      </c>
      <c r="F13" s="10"/>
      <c r="G13" s="10"/>
      <c r="H13" s="7">
        <v>11</v>
      </c>
      <c r="I13" s="11" t="b">
        <f>TRUE()</f>
        <v>1</v>
      </c>
      <c r="J13" s="12">
        <v>0.28899000000000002</v>
      </c>
      <c r="K13" s="12">
        <v>3.5119999999999998E-2</v>
      </c>
      <c r="L13" s="13">
        <v>3.5119999999999998E-2</v>
      </c>
      <c r="M13" s="14"/>
      <c r="N13" s="14"/>
      <c r="O13" s="14"/>
      <c r="P13" s="14"/>
      <c r="Q13" s="14"/>
      <c r="R13" s="14"/>
      <c r="S13" s="14"/>
      <c r="T13" s="15">
        <f t="shared" si="1"/>
        <v>3.5119999999999998E-2</v>
      </c>
      <c r="U13" s="14"/>
      <c r="V13" s="15" t="str">
        <f t="shared" si="2"/>
        <v/>
      </c>
      <c r="W13" s="16"/>
      <c r="X13" s="17" t="s">
        <v>59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spans="1:34" ht="15" customHeight="1">
      <c r="A14" s="6">
        <v>14</v>
      </c>
      <c r="B14" s="7">
        <v>4</v>
      </c>
      <c r="C14" s="6" t="str">
        <f t="shared" si="0"/>
        <v xml:space="preserve">    c4</v>
      </c>
      <c r="D14" s="8" t="s">
        <v>60</v>
      </c>
      <c r="E14" s="9" t="s">
        <v>61</v>
      </c>
      <c r="F14" s="10"/>
      <c r="G14" s="10"/>
      <c r="H14" s="7">
        <v>11</v>
      </c>
      <c r="I14" s="11" t="b">
        <f>TRUE()</f>
        <v>1</v>
      </c>
      <c r="J14" s="12">
        <v>0.26669999999999999</v>
      </c>
      <c r="K14" s="12">
        <v>3.2410000000000001E-2</v>
      </c>
      <c r="L14" s="13">
        <v>3.2410000000000001E-2</v>
      </c>
      <c r="M14" s="14"/>
      <c r="N14" s="14"/>
      <c r="O14" s="14"/>
      <c r="P14" s="14"/>
      <c r="Q14" s="14"/>
      <c r="R14" s="14"/>
      <c r="S14" s="14"/>
      <c r="T14" s="15">
        <f t="shared" si="1"/>
        <v>3.2410000000000001E-2</v>
      </c>
      <c r="U14" s="14"/>
      <c r="V14" s="15" t="str">
        <f t="shared" si="2"/>
        <v/>
      </c>
      <c r="W14" s="16"/>
      <c r="X14" s="17" t="s">
        <v>62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 spans="1:34" ht="15" customHeight="1">
      <c r="A15" s="6">
        <v>15</v>
      </c>
      <c r="B15" s="7">
        <v>3</v>
      </c>
      <c r="C15" s="6" t="str">
        <f t="shared" si="0"/>
        <v xml:space="preserve">   Nc3</v>
      </c>
      <c r="D15" s="8" t="s">
        <v>63</v>
      </c>
      <c r="E15" s="9" t="s">
        <v>64</v>
      </c>
      <c r="F15" s="10"/>
      <c r="G15" s="10"/>
      <c r="H15" s="7">
        <v>3</v>
      </c>
      <c r="I15" s="11" t="b">
        <f>FALSE()</f>
        <v>0</v>
      </c>
      <c r="J15" s="12">
        <v>0.22586000000000001</v>
      </c>
      <c r="K15" s="12">
        <v>9.1490000000000002E-2</v>
      </c>
      <c r="L15" s="13">
        <v>9.1490000000000002E-2</v>
      </c>
      <c r="M15" s="14"/>
      <c r="N15" s="14"/>
      <c r="O15" s="14"/>
      <c r="P15" s="14"/>
      <c r="Q15" s="14"/>
      <c r="R15" s="14"/>
      <c r="S15" s="14"/>
      <c r="T15" s="15">
        <f t="shared" si="1"/>
        <v>9.1490000000000002E-2</v>
      </c>
      <c r="U15" s="14"/>
      <c r="V15" s="15" t="str">
        <f t="shared" si="2"/>
        <v/>
      </c>
      <c r="W15" s="16"/>
      <c r="X15" s="17" t="s">
        <v>65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34" ht="15" customHeight="1">
      <c r="A16" s="6">
        <v>16</v>
      </c>
      <c r="B16" s="7">
        <v>4</v>
      </c>
      <c r="C16" s="6" t="str">
        <f t="shared" si="0"/>
        <v xml:space="preserve">    Nf3</v>
      </c>
      <c r="D16" s="8" t="s">
        <v>66</v>
      </c>
      <c r="E16" s="9" t="s">
        <v>67</v>
      </c>
      <c r="F16" s="10"/>
      <c r="G16" s="10"/>
      <c r="H16" s="7">
        <v>15</v>
      </c>
      <c r="I16" s="11" t="b">
        <f>TRUE()</f>
        <v>1</v>
      </c>
      <c r="J16" s="12">
        <v>0.43323</v>
      </c>
      <c r="K16" s="12">
        <v>3.9640000000000002E-2</v>
      </c>
      <c r="L16" s="13">
        <v>3.9640000000000002E-2</v>
      </c>
      <c r="M16" s="14"/>
      <c r="N16" s="14"/>
      <c r="O16" s="14"/>
      <c r="P16" s="14"/>
      <c r="Q16" s="14"/>
      <c r="R16" s="14"/>
      <c r="S16" s="14"/>
      <c r="T16" s="15">
        <f t="shared" si="1"/>
        <v>3.9640000000000002E-2</v>
      </c>
      <c r="U16" s="14"/>
      <c r="V16" s="15" t="str">
        <f t="shared" si="2"/>
        <v/>
      </c>
      <c r="W16" s="16"/>
      <c r="X16" s="17" t="s">
        <v>68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1:34" ht="15" customHeight="1">
      <c r="A17" s="6">
        <v>17</v>
      </c>
      <c r="B17" s="7">
        <v>4</v>
      </c>
      <c r="C17" s="6" t="str">
        <f t="shared" si="0"/>
        <v xml:space="preserve">    e5</v>
      </c>
      <c r="D17" s="8" t="s">
        <v>69</v>
      </c>
      <c r="E17" s="9" t="s">
        <v>49</v>
      </c>
      <c r="F17" s="10">
        <v>10</v>
      </c>
      <c r="G17" s="10">
        <v>1</v>
      </c>
      <c r="H17" s="7">
        <v>15</v>
      </c>
      <c r="I17" s="11" t="b">
        <f>TRUE()</f>
        <v>1</v>
      </c>
      <c r="J17" s="12">
        <v>0.18806999999999999</v>
      </c>
      <c r="K17" s="12">
        <v>1.721E-2</v>
      </c>
      <c r="L17" s="13">
        <v>1.721E-2</v>
      </c>
      <c r="M17" s="14"/>
      <c r="N17" s="14"/>
      <c r="O17" s="14"/>
      <c r="P17" s="14"/>
      <c r="Q17" s="14"/>
      <c r="R17" s="14"/>
      <c r="S17" s="14"/>
      <c r="T17" s="15">
        <f t="shared" si="1"/>
        <v>1.721E-2</v>
      </c>
      <c r="U17" s="14"/>
      <c r="V17" s="15" t="str">
        <f t="shared" si="2"/>
        <v/>
      </c>
      <c r="W17" s="16"/>
      <c r="X17" s="17" t="s">
        <v>70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 spans="1:34" ht="15" customHeight="1">
      <c r="A18" s="6">
        <v>18</v>
      </c>
      <c r="B18" s="7">
        <v>4</v>
      </c>
      <c r="C18" s="6" t="str">
        <f t="shared" si="0"/>
        <v xml:space="preserve">    exd5</v>
      </c>
      <c r="D18" s="8" t="s">
        <v>71</v>
      </c>
      <c r="E18" s="9" t="s">
        <v>72</v>
      </c>
      <c r="F18" s="10"/>
      <c r="G18" s="10"/>
      <c r="H18" s="7">
        <v>15</v>
      </c>
      <c r="I18" s="11" t="b">
        <f>TRUE()</f>
        <v>1</v>
      </c>
      <c r="J18" s="12">
        <v>0.1762</v>
      </c>
      <c r="K18" s="12">
        <v>1.6119999999999999E-2</v>
      </c>
      <c r="L18" s="13">
        <v>1.6119999999999999E-2</v>
      </c>
      <c r="M18" s="14"/>
      <c r="N18" s="14"/>
      <c r="O18" s="14"/>
      <c r="P18" s="14"/>
      <c r="Q18" s="14"/>
      <c r="R18" s="14"/>
      <c r="S18" s="14"/>
      <c r="T18" s="15">
        <f t="shared" si="1"/>
        <v>1.6119999999999999E-2</v>
      </c>
      <c r="U18" s="14"/>
      <c r="V18" s="15" t="str">
        <f t="shared" si="2"/>
        <v/>
      </c>
      <c r="W18" s="16"/>
      <c r="X18" s="17" t="s">
        <v>73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1:34" ht="15" customHeight="1">
      <c r="A19" s="6">
        <v>19</v>
      </c>
      <c r="B19" s="7">
        <v>4</v>
      </c>
      <c r="C19" s="6" t="str">
        <f t="shared" si="0"/>
        <v xml:space="preserve">    Bd3</v>
      </c>
      <c r="D19" s="8" t="s">
        <v>74</v>
      </c>
      <c r="E19" s="9" t="s">
        <v>75</v>
      </c>
      <c r="F19" s="10"/>
      <c r="G19" s="10"/>
      <c r="H19" s="7">
        <v>15</v>
      </c>
      <c r="I19" s="11" t="b">
        <f>TRUE()</f>
        <v>1</v>
      </c>
      <c r="J19" s="12">
        <v>0.12853000000000001</v>
      </c>
      <c r="K19" s="12">
        <v>1.176E-2</v>
      </c>
      <c r="L19" s="13">
        <v>1.176E-2</v>
      </c>
      <c r="M19" s="14"/>
      <c r="N19" s="14"/>
      <c r="O19" s="14"/>
      <c r="P19" s="14"/>
      <c r="Q19" s="14"/>
      <c r="R19" s="14"/>
      <c r="S19" s="14"/>
      <c r="T19" s="15">
        <f t="shared" si="1"/>
        <v>1.176E-2</v>
      </c>
      <c r="U19" s="14"/>
      <c r="V19" s="15" t="str">
        <f t="shared" si="2"/>
        <v/>
      </c>
      <c r="W19" s="16"/>
      <c r="X19" s="17" t="s">
        <v>76</v>
      </c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1:34" ht="15" customHeight="1">
      <c r="A20" s="6">
        <v>20</v>
      </c>
      <c r="B20" s="7">
        <v>4</v>
      </c>
      <c r="C20" s="6" t="str">
        <f t="shared" si="0"/>
        <v xml:space="preserve">    Bf4</v>
      </c>
      <c r="D20" s="8" t="s">
        <v>77</v>
      </c>
      <c r="E20" s="9" t="s">
        <v>78</v>
      </c>
      <c r="F20" s="10"/>
      <c r="G20" s="10"/>
      <c r="H20" s="7">
        <v>15</v>
      </c>
      <c r="I20" s="11" t="b">
        <f>TRUE()</f>
        <v>1</v>
      </c>
      <c r="J20" s="12">
        <v>7.3969999999999994E-2</v>
      </c>
      <c r="K20" s="12">
        <v>6.77E-3</v>
      </c>
      <c r="L20" s="13">
        <v>6.77E-3</v>
      </c>
      <c r="M20" s="14"/>
      <c r="N20" s="14"/>
      <c r="O20" s="14"/>
      <c r="P20" s="14"/>
      <c r="Q20" s="14"/>
      <c r="R20" s="14"/>
      <c r="S20" s="14"/>
      <c r="T20" s="15">
        <f t="shared" si="1"/>
        <v>6.77E-3</v>
      </c>
      <c r="U20" s="14"/>
      <c r="V20" s="15" t="str">
        <f t="shared" si="2"/>
        <v/>
      </c>
      <c r="W20" s="16"/>
      <c r="X20" s="17" t="s">
        <v>79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spans="1:34" ht="15" customHeight="1">
      <c r="A21" s="6">
        <v>21</v>
      </c>
      <c r="B21" s="7">
        <v>2</v>
      </c>
      <c r="C21" s="6" t="str">
        <f t="shared" si="0"/>
        <v xml:space="preserve">  Nf3</v>
      </c>
      <c r="D21" s="8" t="s">
        <v>80</v>
      </c>
      <c r="E21" s="9" t="s">
        <v>81</v>
      </c>
      <c r="F21" s="10"/>
      <c r="G21" s="10"/>
      <c r="H21" s="7">
        <v>2</v>
      </c>
      <c r="I21" s="11" t="b">
        <f>FALSE()</f>
        <v>0</v>
      </c>
      <c r="J21" s="12">
        <v>0.29731000000000002</v>
      </c>
      <c r="K21" s="12">
        <v>0.21492</v>
      </c>
      <c r="L21" s="13">
        <v>0.21492</v>
      </c>
      <c r="M21" s="14"/>
      <c r="N21" s="14"/>
      <c r="O21" s="14"/>
      <c r="P21" s="14"/>
      <c r="Q21" s="14"/>
      <c r="R21" s="14"/>
      <c r="S21" s="14"/>
      <c r="T21" s="15">
        <f t="shared" si="1"/>
        <v>0.21492</v>
      </c>
      <c r="U21" s="14"/>
      <c r="V21" s="15" t="str">
        <f t="shared" si="2"/>
        <v/>
      </c>
      <c r="W21" s="16"/>
      <c r="X21" s="17" t="s">
        <v>82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 ht="15" customHeight="1">
      <c r="A22" s="6">
        <v>22</v>
      </c>
      <c r="B22" s="7">
        <v>3</v>
      </c>
      <c r="C22" s="6" t="str">
        <f t="shared" si="0"/>
        <v xml:space="preserve">   d4</v>
      </c>
      <c r="D22" s="8" t="s">
        <v>83</v>
      </c>
      <c r="E22" s="9" t="s">
        <v>84</v>
      </c>
      <c r="F22" s="10"/>
      <c r="G22" s="10"/>
      <c r="H22" s="7">
        <v>21</v>
      </c>
      <c r="I22" s="11" t="b">
        <f>FALSE()</f>
        <v>0</v>
      </c>
      <c r="J22" s="12">
        <v>0.58172999999999997</v>
      </c>
      <c r="K22" s="12">
        <v>0.12501999999999999</v>
      </c>
      <c r="L22" s="13">
        <v>0.12501999999999999</v>
      </c>
      <c r="M22" s="14"/>
      <c r="N22" s="14"/>
      <c r="O22" s="14"/>
      <c r="P22" s="14"/>
      <c r="Q22" s="14"/>
      <c r="R22" s="14"/>
      <c r="S22" s="14"/>
      <c r="T22" s="15">
        <f t="shared" si="1"/>
        <v>0.12501999999999999</v>
      </c>
      <c r="U22" s="14"/>
      <c r="V22" s="15" t="str">
        <f t="shared" si="2"/>
        <v/>
      </c>
      <c r="W22" s="16"/>
      <c r="X22" s="17" t="s">
        <v>85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1:34" ht="15" customHeight="1">
      <c r="A23" s="6">
        <v>23</v>
      </c>
      <c r="B23" s="7">
        <v>4</v>
      </c>
      <c r="C23" s="6" t="str">
        <f t="shared" si="0"/>
        <v xml:space="preserve">    Nc3</v>
      </c>
      <c r="D23" s="8" t="s">
        <v>86</v>
      </c>
      <c r="E23" s="9" t="s">
        <v>87</v>
      </c>
      <c r="F23" s="10"/>
      <c r="G23" s="10"/>
      <c r="H23" s="7">
        <v>22</v>
      </c>
      <c r="I23" s="11" t="b">
        <f>TRUE()</f>
        <v>1</v>
      </c>
      <c r="J23" s="12">
        <v>0.31231999999999999</v>
      </c>
      <c r="K23" s="12">
        <v>3.9050000000000001E-2</v>
      </c>
      <c r="L23" s="13">
        <v>3.9050000000000001E-2</v>
      </c>
      <c r="M23" s="14"/>
      <c r="N23" s="14"/>
      <c r="O23" s="14"/>
      <c r="P23" s="14"/>
      <c r="Q23" s="14"/>
      <c r="R23" s="14"/>
      <c r="S23" s="14"/>
      <c r="T23" s="15">
        <f t="shared" si="1"/>
        <v>3.9050000000000001E-2</v>
      </c>
      <c r="U23" s="14"/>
      <c r="V23" s="15" t="str">
        <f t="shared" si="2"/>
        <v/>
      </c>
      <c r="W23" s="16"/>
      <c r="X23" s="17" t="s">
        <v>88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spans="1:34" ht="15" customHeight="1">
      <c r="A24" s="6">
        <v>24</v>
      </c>
      <c r="B24" s="7">
        <v>4</v>
      </c>
      <c r="C24" s="6" t="str">
        <f t="shared" si="0"/>
        <v xml:space="preserve">    Bc4</v>
      </c>
      <c r="D24" s="8" t="s">
        <v>89</v>
      </c>
      <c r="E24" s="9" t="s">
        <v>90</v>
      </c>
      <c r="F24" s="10"/>
      <c r="G24" s="10"/>
      <c r="H24" s="7">
        <v>22</v>
      </c>
      <c r="I24" s="11" t="b">
        <f>TRUE()</f>
        <v>1</v>
      </c>
      <c r="J24" s="12">
        <v>0.19098999999999999</v>
      </c>
      <c r="K24" s="12">
        <v>2.3879999999999998E-2</v>
      </c>
      <c r="L24" s="13">
        <v>2.3879999999999998E-2</v>
      </c>
      <c r="M24" s="14"/>
      <c r="N24" s="14"/>
      <c r="O24" s="14"/>
      <c r="P24" s="14"/>
      <c r="Q24" s="14"/>
      <c r="R24" s="14"/>
      <c r="S24" s="14"/>
      <c r="T24" s="15">
        <f t="shared" si="1"/>
        <v>2.3879999999999998E-2</v>
      </c>
      <c r="U24" s="14"/>
      <c r="V24" s="15" t="str">
        <f t="shared" si="2"/>
        <v/>
      </c>
      <c r="W24" s="16"/>
      <c r="X24" s="17" t="s">
        <v>91</v>
      </c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spans="1:34" ht="15" customHeight="1">
      <c r="A25" s="6">
        <v>25</v>
      </c>
      <c r="B25" s="7">
        <v>4</v>
      </c>
      <c r="C25" s="6" t="str">
        <f t="shared" si="0"/>
        <v xml:space="preserve">    Bd3</v>
      </c>
      <c r="D25" s="8" t="s">
        <v>92</v>
      </c>
      <c r="E25" s="9" t="s">
        <v>93</v>
      </c>
      <c r="F25" s="10"/>
      <c r="G25" s="10"/>
      <c r="H25" s="7">
        <v>22</v>
      </c>
      <c r="I25" s="11" t="b">
        <f>TRUE()</f>
        <v>1</v>
      </c>
      <c r="J25" s="12">
        <v>0.15078</v>
      </c>
      <c r="K25" s="12">
        <v>1.8849999999999999E-2</v>
      </c>
      <c r="L25" s="13">
        <v>1.8849999999999999E-2</v>
      </c>
      <c r="M25" s="14"/>
      <c r="N25" s="14"/>
      <c r="O25" s="14"/>
      <c r="P25" s="14"/>
      <c r="Q25" s="14"/>
      <c r="R25" s="14"/>
      <c r="S25" s="14"/>
      <c r="T25" s="15">
        <f t="shared" si="1"/>
        <v>1.8849999999999999E-2</v>
      </c>
      <c r="U25" s="14"/>
      <c r="V25" s="15" t="str">
        <f t="shared" si="2"/>
        <v/>
      </c>
      <c r="W25" s="16"/>
      <c r="X25" s="17" t="s">
        <v>94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spans="1:34" ht="15" customHeight="1">
      <c r="A26" s="6">
        <v>26</v>
      </c>
      <c r="B26" s="7">
        <v>4</v>
      </c>
      <c r="C26" s="6" t="str">
        <f t="shared" si="0"/>
        <v xml:space="preserve">    c4</v>
      </c>
      <c r="D26" s="8" t="s">
        <v>95</v>
      </c>
      <c r="E26" s="9" t="s">
        <v>96</v>
      </c>
      <c r="F26" s="10"/>
      <c r="G26" s="10"/>
      <c r="H26" s="7">
        <v>22</v>
      </c>
      <c r="I26" s="11" t="b">
        <f>TRUE()</f>
        <v>1</v>
      </c>
      <c r="J26" s="12">
        <v>0.14207</v>
      </c>
      <c r="K26" s="12">
        <v>1.7760000000000001E-2</v>
      </c>
      <c r="L26" s="13">
        <v>1.7760000000000001E-2</v>
      </c>
      <c r="M26" s="14"/>
      <c r="N26" s="14"/>
      <c r="O26" s="14"/>
      <c r="P26" s="14"/>
      <c r="Q26" s="14"/>
      <c r="R26" s="14"/>
      <c r="S26" s="14"/>
      <c r="T26" s="15">
        <f t="shared" si="1"/>
        <v>1.7760000000000001E-2</v>
      </c>
      <c r="U26" s="14"/>
      <c r="V26" s="15" t="str">
        <f t="shared" si="2"/>
        <v/>
      </c>
      <c r="W26" s="16"/>
      <c r="X26" s="17" t="s">
        <v>97</v>
      </c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 spans="1:34" ht="15" customHeight="1">
      <c r="A27" s="6">
        <v>27</v>
      </c>
      <c r="B27" s="7">
        <v>4</v>
      </c>
      <c r="C27" s="6" t="str">
        <f t="shared" si="0"/>
        <v xml:space="preserve">    c3</v>
      </c>
      <c r="D27" s="8" t="s">
        <v>98</v>
      </c>
      <c r="E27" s="9" t="s">
        <v>99</v>
      </c>
      <c r="F27" s="10"/>
      <c r="G27" s="10"/>
      <c r="H27" s="7">
        <v>22</v>
      </c>
      <c r="I27" s="11" t="b">
        <f>TRUE()</f>
        <v>1</v>
      </c>
      <c r="J27" s="12">
        <v>7.4450000000000002E-2</v>
      </c>
      <c r="K27" s="12">
        <v>9.3100000000000006E-3</v>
      </c>
      <c r="L27" s="13">
        <v>9.3100000000000006E-3</v>
      </c>
      <c r="M27" s="14"/>
      <c r="N27" s="14"/>
      <c r="O27" s="14"/>
      <c r="P27" s="14"/>
      <c r="Q27" s="14"/>
      <c r="R27" s="14"/>
      <c r="S27" s="14"/>
      <c r="T27" s="15">
        <f t="shared" si="1"/>
        <v>9.3100000000000006E-3</v>
      </c>
      <c r="U27" s="14"/>
      <c r="V27" s="15" t="str">
        <f t="shared" si="2"/>
        <v/>
      </c>
      <c r="W27" s="16"/>
      <c r="X27" s="17" t="s">
        <v>100</v>
      </c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spans="1:34" ht="15" customHeight="1">
      <c r="A28" s="6">
        <v>28</v>
      </c>
      <c r="B28" s="7">
        <v>4</v>
      </c>
      <c r="C28" s="6" t="str">
        <f t="shared" si="0"/>
        <v xml:space="preserve">    Be3</v>
      </c>
      <c r="D28" s="8" t="s">
        <v>101</v>
      </c>
      <c r="E28" s="9" t="s">
        <v>102</v>
      </c>
      <c r="F28" s="10"/>
      <c r="G28" s="10"/>
      <c r="H28" s="7">
        <v>22</v>
      </c>
      <c r="I28" s="11" t="b">
        <f>TRUE()</f>
        <v>1</v>
      </c>
      <c r="J28" s="12">
        <v>6.8930000000000005E-2</v>
      </c>
      <c r="K28" s="12">
        <v>8.6199999999999992E-3</v>
      </c>
      <c r="L28" s="13">
        <v>8.6199999999999992E-3</v>
      </c>
      <c r="M28" s="14"/>
      <c r="N28" s="14"/>
      <c r="O28" s="14"/>
      <c r="P28" s="14"/>
      <c r="Q28" s="14"/>
      <c r="R28" s="14"/>
      <c r="S28" s="14"/>
      <c r="T28" s="15">
        <f t="shared" si="1"/>
        <v>8.6199999999999992E-3</v>
      </c>
      <c r="U28" s="14"/>
      <c r="V28" s="15" t="str">
        <f t="shared" si="2"/>
        <v/>
      </c>
      <c r="W28" s="16"/>
      <c r="X28" s="17" t="s">
        <v>103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spans="1:34" ht="15" customHeight="1">
      <c r="A29" s="6">
        <v>29</v>
      </c>
      <c r="B29" s="7">
        <v>4</v>
      </c>
      <c r="C29" s="6" t="str">
        <f t="shared" si="0"/>
        <v xml:space="preserve">    Be2</v>
      </c>
      <c r="D29" s="8" t="s">
        <v>104</v>
      </c>
      <c r="E29" s="9" t="s">
        <v>105</v>
      </c>
      <c r="F29" s="10"/>
      <c r="G29" s="10"/>
      <c r="H29" s="7">
        <v>22</v>
      </c>
      <c r="I29" s="11" t="b">
        <f>TRUE()</f>
        <v>1</v>
      </c>
      <c r="J29" s="12">
        <v>6.046E-2</v>
      </c>
      <c r="K29" s="12">
        <v>7.5599999999999999E-3</v>
      </c>
      <c r="L29" s="13">
        <v>7.5599999999999999E-3</v>
      </c>
      <c r="M29" s="14"/>
      <c r="N29" s="14"/>
      <c r="O29" s="14"/>
      <c r="P29" s="14"/>
      <c r="Q29" s="14"/>
      <c r="R29" s="14"/>
      <c r="S29" s="14"/>
      <c r="T29" s="15">
        <f t="shared" si="1"/>
        <v>7.5599999999999999E-3</v>
      </c>
      <c r="U29" s="14"/>
      <c r="V29" s="15" t="str">
        <f t="shared" si="2"/>
        <v/>
      </c>
      <c r="W29" s="16"/>
      <c r="X29" s="17" t="s">
        <v>106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spans="1:34" ht="15" customHeight="1">
      <c r="A30" s="6">
        <v>30</v>
      </c>
      <c r="B30" s="7">
        <v>3</v>
      </c>
      <c r="C30" s="6" t="str">
        <f t="shared" si="0"/>
        <v xml:space="preserve">   Bc4</v>
      </c>
      <c r="D30" s="8" t="s">
        <v>107</v>
      </c>
      <c r="E30" s="9" t="s">
        <v>108</v>
      </c>
      <c r="F30" s="10"/>
      <c r="G30" s="10"/>
      <c r="H30" s="7">
        <v>21</v>
      </c>
      <c r="I30" s="11" t="b">
        <f>FALSE()</f>
        <v>0</v>
      </c>
      <c r="J30" s="12">
        <v>0.26666000000000001</v>
      </c>
      <c r="K30" s="12">
        <v>5.731E-2</v>
      </c>
      <c r="L30" s="13">
        <v>5.731E-2</v>
      </c>
      <c r="M30" s="14"/>
      <c r="N30" s="14"/>
      <c r="O30" s="14"/>
      <c r="P30" s="14"/>
      <c r="Q30" s="14"/>
      <c r="R30" s="14"/>
      <c r="S30" s="14"/>
      <c r="T30" s="15">
        <f t="shared" si="1"/>
        <v>5.731E-2</v>
      </c>
      <c r="U30" s="14"/>
      <c r="V30" s="15" t="str">
        <f t="shared" si="2"/>
        <v/>
      </c>
      <c r="W30" s="16"/>
      <c r="X30" s="17" t="s">
        <v>109</v>
      </c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spans="1:34" ht="15" customHeight="1">
      <c r="A31" s="6">
        <v>31</v>
      </c>
      <c r="B31" s="7">
        <v>4</v>
      </c>
      <c r="C31" s="6" t="str">
        <f t="shared" si="0"/>
        <v xml:space="preserve">    exd5</v>
      </c>
      <c r="D31" s="8" t="s">
        <v>110</v>
      </c>
      <c r="E31" s="9" t="s">
        <v>111</v>
      </c>
      <c r="F31" s="10"/>
      <c r="G31" s="10"/>
      <c r="H31" s="7">
        <v>30</v>
      </c>
      <c r="I31" s="11" t="b">
        <f>TRUE()</f>
        <v>1</v>
      </c>
      <c r="J31" s="12">
        <v>1</v>
      </c>
      <c r="K31" s="12">
        <v>5.731E-2</v>
      </c>
      <c r="L31" s="13">
        <v>5.731E-2</v>
      </c>
      <c r="M31" s="14"/>
      <c r="N31" s="14"/>
      <c r="O31" s="14"/>
      <c r="P31" s="14"/>
      <c r="Q31" s="14"/>
      <c r="R31" s="14"/>
      <c r="S31" s="14"/>
      <c r="T31" s="15">
        <f t="shared" si="1"/>
        <v>5.731E-2</v>
      </c>
      <c r="U31" s="14"/>
      <c r="V31" s="15" t="str">
        <f t="shared" si="2"/>
        <v/>
      </c>
      <c r="W31" s="16"/>
      <c r="X31" s="17" t="s">
        <v>112</v>
      </c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2" spans="1:34" ht="15" customHeight="1">
      <c r="A32" s="6">
        <v>32</v>
      </c>
      <c r="B32" s="7">
        <v>3</v>
      </c>
      <c r="C32" s="6" t="str">
        <f t="shared" si="0"/>
        <v xml:space="preserve">   Nc3</v>
      </c>
      <c r="D32" s="8" t="s">
        <v>113</v>
      </c>
      <c r="E32" s="9" t="s">
        <v>114</v>
      </c>
      <c r="F32" s="10"/>
      <c r="G32" s="10"/>
      <c r="H32" s="7">
        <v>21</v>
      </c>
      <c r="I32" s="11" t="b">
        <f>FALSE()</f>
        <v>0</v>
      </c>
      <c r="J32" s="12">
        <v>0.15160999999999999</v>
      </c>
      <c r="K32" s="12">
        <v>3.2579999999999998E-2</v>
      </c>
      <c r="L32" s="13">
        <v>3.2579999999999998E-2</v>
      </c>
      <c r="M32" s="14"/>
      <c r="N32" s="14"/>
      <c r="O32" s="14"/>
      <c r="P32" s="14"/>
      <c r="Q32" s="14"/>
      <c r="R32" s="14"/>
      <c r="S32" s="14"/>
      <c r="T32" s="15">
        <f t="shared" si="1"/>
        <v>3.2579999999999998E-2</v>
      </c>
      <c r="U32" s="14"/>
      <c r="V32" s="15" t="str">
        <f t="shared" si="2"/>
        <v/>
      </c>
      <c r="W32" s="16"/>
      <c r="X32" s="17" t="s">
        <v>115</v>
      </c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spans="1:34" ht="15" customHeight="1">
      <c r="A33" s="6">
        <v>33</v>
      </c>
      <c r="B33" s="7">
        <v>4</v>
      </c>
      <c r="C33" s="6" t="str">
        <f t="shared" si="0"/>
        <v xml:space="preserve">    d4</v>
      </c>
      <c r="D33" s="8" t="s">
        <v>116</v>
      </c>
      <c r="E33" s="9" t="s">
        <v>117</v>
      </c>
      <c r="F33" s="10"/>
      <c r="G33" s="10"/>
      <c r="H33" s="7">
        <v>32</v>
      </c>
      <c r="I33" s="11" t="b">
        <f>TRUE()</f>
        <v>1</v>
      </c>
      <c r="J33" s="12">
        <v>0.48254999999999998</v>
      </c>
      <c r="K33" s="12">
        <v>1.5720000000000001E-2</v>
      </c>
      <c r="L33" s="13">
        <v>1.5720000000000001E-2</v>
      </c>
      <c r="M33" s="14"/>
      <c r="N33" s="14"/>
      <c r="O33" s="14"/>
      <c r="P33" s="14"/>
      <c r="Q33" s="14"/>
      <c r="R33" s="14"/>
      <c r="S33" s="14"/>
      <c r="T33" s="15">
        <f t="shared" si="1"/>
        <v>1.5720000000000001E-2</v>
      </c>
      <c r="U33" s="14"/>
      <c r="V33" s="15" t="str">
        <f t="shared" si="2"/>
        <v/>
      </c>
      <c r="W33" s="16"/>
      <c r="X33" s="17" t="s">
        <v>118</v>
      </c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 spans="1:34" ht="15" customHeight="1">
      <c r="A34" s="6">
        <v>34</v>
      </c>
      <c r="B34" s="7">
        <v>4</v>
      </c>
      <c r="C34" s="6" t="str">
        <f t="shared" ref="C34:C65" si="3">REPT(" ",B34)&amp;TRIM(RIGHT(SUBSTITUTE(D34," ",REPT(" ",99)),99))</f>
        <v xml:space="preserve">    exd5</v>
      </c>
      <c r="D34" s="8" t="s">
        <v>119</v>
      </c>
      <c r="E34" s="9" t="s">
        <v>120</v>
      </c>
      <c r="F34" s="10"/>
      <c r="G34" s="10"/>
      <c r="H34" s="7">
        <v>32</v>
      </c>
      <c r="I34" s="11" t="b">
        <f>TRUE()</f>
        <v>1</v>
      </c>
      <c r="J34" s="12">
        <v>0.37491000000000002</v>
      </c>
      <c r="K34" s="12">
        <v>1.222E-2</v>
      </c>
      <c r="L34" s="13">
        <v>1.222E-2</v>
      </c>
      <c r="M34" s="14"/>
      <c r="N34" s="14"/>
      <c r="O34" s="14"/>
      <c r="P34" s="14"/>
      <c r="Q34" s="14"/>
      <c r="R34" s="14"/>
      <c r="S34" s="14"/>
      <c r="T34" s="15">
        <f t="shared" ref="T34:T65" si="4">L34+SUM(M34:S34)</f>
        <v>1.222E-2</v>
      </c>
      <c r="U34" s="14"/>
      <c r="V34" s="15" t="str">
        <f t="shared" ref="V34:V65" si="5">IF(U34="","",T34-U34)</f>
        <v/>
      </c>
      <c r="W34" s="16"/>
      <c r="X34" s="17" t="s">
        <v>121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 spans="1:34" ht="15" customHeight="1">
      <c r="A35" s="6">
        <v>35</v>
      </c>
      <c r="B35" s="7">
        <v>4</v>
      </c>
      <c r="C35" s="6" t="str">
        <f t="shared" si="3"/>
        <v xml:space="preserve">    e5</v>
      </c>
      <c r="D35" s="8" t="s">
        <v>122</v>
      </c>
      <c r="E35" s="9" t="s">
        <v>123</v>
      </c>
      <c r="F35" s="10"/>
      <c r="G35" s="10"/>
      <c r="H35" s="7">
        <v>32</v>
      </c>
      <c r="I35" s="11" t="b">
        <f>TRUE()</f>
        <v>1</v>
      </c>
      <c r="J35" s="12">
        <v>7.46E-2</v>
      </c>
      <c r="K35" s="12">
        <v>2.4299999999999999E-3</v>
      </c>
      <c r="L35" s="13">
        <v>2.4299999999999999E-3</v>
      </c>
      <c r="M35" s="14"/>
      <c r="N35" s="14"/>
      <c r="O35" s="14"/>
      <c r="P35" s="14"/>
      <c r="Q35" s="14"/>
      <c r="R35" s="14"/>
      <c r="S35" s="14"/>
      <c r="T35" s="15">
        <f t="shared" si="4"/>
        <v>2.4299999999999999E-3</v>
      </c>
      <c r="U35" s="14"/>
      <c r="V35" s="15" t="str">
        <f t="shared" si="5"/>
        <v/>
      </c>
      <c r="W35" s="16"/>
      <c r="X35" s="17" t="s">
        <v>124</v>
      </c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spans="1:34" ht="15" customHeight="1">
      <c r="A36" s="6">
        <v>36</v>
      </c>
      <c r="B36" s="7">
        <v>4</v>
      </c>
      <c r="C36" s="6" t="str">
        <f t="shared" si="3"/>
        <v xml:space="preserve">    d3</v>
      </c>
      <c r="D36" s="8" t="s">
        <v>125</v>
      </c>
      <c r="E36" s="9" t="s">
        <v>126</v>
      </c>
      <c r="F36" s="10"/>
      <c r="G36" s="10"/>
      <c r="H36" s="7">
        <v>32</v>
      </c>
      <c r="I36" s="11" t="b">
        <f>TRUE()</f>
        <v>1</v>
      </c>
      <c r="J36" s="12">
        <v>6.794E-2</v>
      </c>
      <c r="K36" s="12">
        <v>2.2100000000000002E-3</v>
      </c>
      <c r="L36" s="13">
        <v>2.2100000000000002E-3</v>
      </c>
      <c r="M36" s="14"/>
      <c r="N36" s="14"/>
      <c r="O36" s="14"/>
      <c r="P36" s="14"/>
      <c r="Q36" s="14"/>
      <c r="R36" s="14"/>
      <c r="S36" s="14"/>
      <c r="T36" s="15">
        <f t="shared" si="4"/>
        <v>2.2100000000000002E-3</v>
      </c>
      <c r="U36" s="14"/>
      <c r="V36" s="15" t="str">
        <f t="shared" si="5"/>
        <v/>
      </c>
      <c r="W36" s="16"/>
      <c r="X36" s="17" t="s">
        <v>127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 spans="1:34" ht="15" customHeight="1">
      <c r="A37" s="6">
        <v>37</v>
      </c>
      <c r="B37" s="7">
        <v>2</v>
      </c>
      <c r="C37" s="6" t="str">
        <f t="shared" si="3"/>
        <v xml:space="preserve">  Bc4</v>
      </c>
      <c r="D37" s="8" t="s">
        <v>128</v>
      </c>
      <c r="E37" s="9" t="s">
        <v>129</v>
      </c>
      <c r="F37" s="10"/>
      <c r="G37" s="10"/>
      <c r="H37" s="7">
        <v>2</v>
      </c>
      <c r="I37" s="11" t="b">
        <f>FALSE()</f>
        <v>0</v>
      </c>
      <c r="J37" s="12">
        <v>7.8049999999999994E-2</v>
      </c>
      <c r="K37" s="12">
        <v>5.6419999999999998E-2</v>
      </c>
      <c r="L37" s="13">
        <v>5.6419999999999998E-2</v>
      </c>
      <c r="M37" s="14"/>
      <c r="N37" s="14"/>
      <c r="O37" s="14"/>
      <c r="P37" s="14"/>
      <c r="Q37" s="14"/>
      <c r="R37" s="14"/>
      <c r="S37" s="14"/>
      <c r="T37" s="15">
        <f t="shared" si="4"/>
        <v>5.6419999999999998E-2</v>
      </c>
      <c r="U37" s="14"/>
      <c r="V37" s="15" t="str">
        <f t="shared" si="5"/>
        <v/>
      </c>
      <c r="W37" s="16"/>
      <c r="X37" s="17" t="s">
        <v>130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 spans="1:34" ht="15" customHeight="1">
      <c r="A38" s="6">
        <v>38</v>
      </c>
      <c r="B38" s="7">
        <v>3</v>
      </c>
      <c r="C38" s="6" t="str">
        <f t="shared" si="3"/>
        <v xml:space="preserve">   exd5</v>
      </c>
      <c r="D38" s="8" t="s">
        <v>131</v>
      </c>
      <c r="E38" s="9" t="s">
        <v>132</v>
      </c>
      <c r="F38" s="10"/>
      <c r="G38" s="10"/>
      <c r="H38" s="7">
        <v>37</v>
      </c>
      <c r="I38" s="11" t="b">
        <f>FALSE()</f>
        <v>0</v>
      </c>
      <c r="J38" s="12">
        <v>1</v>
      </c>
      <c r="K38" s="12">
        <v>5.6419999999999998E-2</v>
      </c>
      <c r="L38" s="13">
        <v>5.6419999999999998E-2</v>
      </c>
      <c r="M38" s="14"/>
      <c r="N38" s="14"/>
      <c r="O38" s="14"/>
      <c r="P38" s="14"/>
      <c r="Q38" s="14"/>
      <c r="R38" s="14"/>
      <c r="S38" s="14"/>
      <c r="T38" s="15">
        <f t="shared" si="4"/>
        <v>5.6419999999999998E-2</v>
      </c>
      <c r="U38" s="14"/>
      <c r="V38" s="15" t="str">
        <f t="shared" si="5"/>
        <v/>
      </c>
      <c r="W38" s="16"/>
      <c r="X38" s="17" t="s">
        <v>133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 spans="1:34" ht="15" customHeight="1">
      <c r="A39" s="6">
        <v>39</v>
      </c>
      <c r="B39" s="7">
        <v>4</v>
      </c>
      <c r="C39" s="6" t="str">
        <f t="shared" si="3"/>
        <v xml:space="preserve">    Bb3</v>
      </c>
      <c r="D39" s="8" t="s">
        <v>134</v>
      </c>
      <c r="E39" s="9" t="s">
        <v>135</v>
      </c>
      <c r="F39" s="10"/>
      <c r="G39" s="10"/>
      <c r="H39" s="7">
        <v>38</v>
      </c>
      <c r="I39" s="11" t="b">
        <f>TRUE()</f>
        <v>1</v>
      </c>
      <c r="J39" s="12">
        <v>0.70982000000000001</v>
      </c>
      <c r="K39" s="12">
        <v>4.0050000000000002E-2</v>
      </c>
      <c r="L39" s="13">
        <v>4.0050000000000002E-2</v>
      </c>
      <c r="M39" s="14"/>
      <c r="N39" s="14"/>
      <c r="O39" s="14"/>
      <c r="P39" s="14"/>
      <c r="Q39" s="14"/>
      <c r="R39" s="14"/>
      <c r="S39" s="14"/>
      <c r="T39" s="15">
        <f t="shared" si="4"/>
        <v>4.0050000000000002E-2</v>
      </c>
      <c r="U39" s="14"/>
      <c r="V39" s="15" t="str">
        <f t="shared" si="5"/>
        <v/>
      </c>
      <c r="W39" s="16"/>
      <c r="X39" s="17" t="s">
        <v>136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 spans="1:34" ht="15" customHeight="1">
      <c r="A40" s="6">
        <v>40</v>
      </c>
      <c r="B40" s="7">
        <v>4</v>
      </c>
      <c r="C40" s="6" t="str">
        <f t="shared" si="3"/>
        <v xml:space="preserve">    Bb5+</v>
      </c>
      <c r="D40" s="8" t="s">
        <v>137</v>
      </c>
      <c r="E40" s="9" t="s">
        <v>138</v>
      </c>
      <c r="F40" s="10"/>
      <c r="G40" s="10"/>
      <c r="H40" s="7">
        <v>38</v>
      </c>
      <c r="I40" s="11" t="b">
        <f>TRUE()</f>
        <v>1</v>
      </c>
      <c r="J40" s="12">
        <v>0.29017999999999999</v>
      </c>
      <c r="K40" s="12">
        <v>1.6369999999999999E-2</v>
      </c>
      <c r="L40" s="13">
        <v>1.6369999999999999E-2</v>
      </c>
      <c r="M40" s="14"/>
      <c r="N40" s="14"/>
      <c r="O40" s="14"/>
      <c r="P40" s="14"/>
      <c r="Q40" s="14"/>
      <c r="R40" s="14"/>
      <c r="S40" s="14"/>
      <c r="T40" s="15">
        <f t="shared" si="4"/>
        <v>1.6369999999999999E-2</v>
      </c>
      <c r="U40" s="14"/>
      <c r="V40" s="15" t="str">
        <f t="shared" si="5"/>
        <v/>
      </c>
      <c r="W40" s="16"/>
      <c r="X40" s="17" t="s">
        <v>139</v>
      </c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 spans="1:34" ht="15" customHeight="1">
      <c r="A41" s="6">
        <v>41</v>
      </c>
      <c r="B41" s="7">
        <v>2</v>
      </c>
      <c r="C41" s="6" t="str">
        <f t="shared" si="3"/>
        <v xml:space="preserve">  Nc3</v>
      </c>
      <c r="D41" s="8" t="s">
        <v>140</v>
      </c>
      <c r="E41" s="9" t="s">
        <v>141</v>
      </c>
      <c r="F41" s="10"/>
      <c r="G41" s="10"/>
      <c r="H41" s="7">
        <v>2</v>
      </c>
      <c r="I41" s="11" t="b">
        <f>FALSE()</f>
        <v>0</v>
      </c>
      <c r="J41" s="12">
        <v>6.4259999999999998E-2</v>
      </c>
      <c r="K41" s="12">
        <v>4.6449999999999998E-2</v>
      </c>
      <c r="L41" s="13">
        <v>4.6449999999999998E-2</v>
      </c>
      <c r="M41" s="14"/>
      <c r="N41" s="14"/>
      <c r="O41" s="14"/>
      <c r="P41" s="14"/>
      <c r="Q41" s="14"/>
      <c r="R41" s="14"/>
      <c r="S41" s="14"/>
      <c r="T41" s="15">
        <f t="shared" si="4"/>
        <v>4.6449999999999998E-2</v>
      </c>
      <c r="U41" s="14"/>
      <c r="V41" s="15" t="str">
        <f t="shared" si="5"/>
        <v/>
      </c>
      <c r="W41" s="16"/>
      <c r="X41" s="17" t="s">
        <v>142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 spans="1:34" ht="15" customHeight="1">
      <c r="A42" s="6">
        <v>42</v>
      </c>
      <c r="B42" s="7">
        <v>3</v>
      </c>
      <c r="C42" s="6" t="str">
        <f t="shared" si="3"/>
        <v xml:space="preserve">   exd5</v>
      </c>
      <c r="D42" s="8" t="s">
        <v>143</v>
      </c>
      <c r="E42" s="9" t="s">
        <v>144</v>
      </c>
      <c r="F42" s="10"/>
      <c r="G42" s="10"/>
      <c r="H42" s="7">
        <v>41</v>
      </c>
      <c r="I42" s="11" t="b">
        <f>FALSE()</f>
        <v>0</v>
      </c>
      <c r="J42" s="12">
        <v>0.52539999999999998</v>
      </c>
      <c r="K42" s="12">
        <v>2.4400000000000002E-2</v>
      </c>
      <c r="L42" s="13">
        <v>2.4400000000000002E-2</v>
      </c>
      <c r="M42" s="14"/>
      <c r="N42" s="14"/>
      <c r="O42" s="14"/>
      <c r="P42" s="14"/>
      <c r="Q42" s="14"/>
      <c r="R42" s="14"/>
      <c r="S42" s="14"/>
      <c r="T42" s="15">
        <f t="shared" si="4"/>
        <v>2.4400000000000002E-2</v>
      </c>
      <c r="U42" s="14"/>
      <c r="V42" s="15" t="str">
        <f t="shared" si="5"/>
        <v/>
      </c>
      <c r="W42" s="16"/>
      <c r="X42" s="17" t="s">
        <v>145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spans="1:34" ht="15" customHeight="1">
      <c r="A43" s="6">
        <v>43</v>
      </c>
      <c r="B43" s="7">
        <v>4</v>
      </c>
      <c r="C43" s="6" t="str">
        <f t="shared" si="3"/>
        <v xml:space="preserve">    d4</v>
      </c>
      <c r="D43" s="8" t="s">
        <v>146</v>
      </c>
      <c r="E43" s="9" t="s">
        <v>147</v>
      </c>
      <c r="F43" s="10"/>
      <c r="G43" s="10"/>
      <c r="H43" s="7">
        <v>42</v>
      </c>
      <c r="I43" s="11" t="b">
        <f>TRUE()</f>
        <v>1</v>
      </c>
      <c r="J43" s="12">
        <v>0.79178000000000004</v>
      </c>
      <c r="K43" s="12">
        <v>1.932E-2</v>
      </c>
      <c r="L43" s="13">
        <v>1.932E-2</v>
      </c>
      <c r="M43" s="14"/>
      <c r="N43" s="14"/>
      <c r="O43" s="14"/>
      <c r="P43" s="14"/>
      <c r="Q43" s="14"/>
      <c r="R43" s="14"/>
      <c r="S43" s="14"/>
      <c r="T43" s="15">
        <f t="shared" si="4"/>
        <v>1.932E-2</v>
      </c>
      <c r="U43" s="14"/>
      <c r="V43" s="15" t="str">
        <f t="shared" si="5"/>
        <v/>
      </c>
      <c r="W43" s="16"/>
      <c r="X43" s="17" t="s">
        <v>148</v>
      </c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ht="15" customHeight="1">
      <c r="A44" s="6">
        <v>44</v>
      </c>
      <c r="B44" s="7">
        <v>4</v>
      </c>
      <c r="C44" s="6" t="str">
        <f t="shared" si="3"/>
        <v xml:space="preserve">    Bb5+</v>
      </c>
      <c r="D44" s="8" t="s">
        <v>149</v>
      </c>
      <c r="E44" s="9" t="s">
        <v>150</v>
      </c>
      <c r="F44" s="10"/>
      <c r="G44" s="10"/>
      <c r="H44" s="7">
        <v>42</v>
      </c>
      <c r="I44" s="11" t="b">
        <f>TRUE()</f>
        <v>1</v>
      </c>
      <c r="J44" s="12">
        <v>0.11293</v>
      </c>
      <c r="K44" s="12">
        <v>2.7599999999999999E-3</v>
      </c>
      <c r="L44" s="13">
        <v>2.7599999999999999E-3</v>
      </c>
      <c r="M44" s="14"/>
      <c r="N44" s="14"/>
      <c r="O44" s="14"/>
      <c r="P44" s="14"/>
      <c r="Q44" s="14"/>
      <c r="R44" s="14"/>
      <c r="S44" s="14"/>
      <c r="T44" s="15">
        <f t="shared" si="4"/>
        <v>2.7599999999999999E-3</v>
      </c>
      <c r="U44" s="14"/>
      <c r="V44" s="15" t="str">
        <f t="shared" si="5"/>
        <v/>
      </c>
      <c r="W44" s="16"/>
      <c r="X44" s="17" t="s">
        <v>151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spans="1:34" ht="15" customHeight="1">
      <c r="A45" s="6">
        <v>45</v>
      </c>
      <c r="B45" s="7">
        <v>4</v>
      </c>
      <c r="C45" s="6" t="str">
        <f t="shared" si="3"/>
        <v xml:space="preserve">    Nf3</v>
      </c>
      <c r="D45" s="8" t="s">
        <v>152</v>
      </c>
      <c r="E45" s="9" t="s">
        <v>153</v>
      </c>
      <c r="F45" s="10"/>
      <c r="G45" s="10"/>
      <c r="H45" s="7">
        <v>42</v>
      </c>
      <c r="I45" s="11" t="b">
        <f>TRUE()</f>
        <v>1</v>
      </c>
      <c r="J45" s="12">
        <v>9.529E-2</v>
      </c>
      <c r="K45" s="12">
        <v>2.33E-3</v>
      </c>
      <c r="L45" s="13">
        <v>2.33E-3</v>
      </c>
      <c r="M45" s="14"/>
      <c r="N45" s="14"/>
      <c r="O45" s="14"/>
      <c r="P45" s="14"/>
      <c r="Q45" s="14"/>
      <c r="R45" s="14"/>
      <c r="S45" s="14"/>
      <c r="T45" s="15">
        <f t="shared" si="4"/>
        <v>2.33E-3</v>
      </c>
      <c r="U45" s="14"/>
      <c r="V45" s="15" t="str">
        <f t="shared" si="5"/>
        <v/>
      </c>
      <c r="W45" s="16"/>
      <c r="X45" s="17" t="s">
        <v>154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spans="1:34" ht="15" customHeight="1">
      <c r="A46" s="6">
        <v>46</v>
      </c>
      <c r="B46" s="7">
        <v>3</v>
      </c>
      <c r="C46" s="6" t="str">
        <f t="shared" si="3"/>
        <v xml:space="preserve">   Nf3</v>
      </c>
      <c r="D46" s="8" t="s">
        <v>155</v>
      </c>
      <c r="E46" s="9" t="s">
        <v>156</v>
      </c>
      <c r="F46" s="10"/>
      <c r="G46" s="10"/>
      <c r="H46" s="7">
        <v>41</v>
      </c>
      <c r="I46" s="11" t="b">
        <f>FALSE()</f>
        <v>0</v>
      </c>
      <c r="J46" s="12">
        <v>0.33300999999999997</v>
      </c>
      <c r="K46" s="12">
        <v>1.5469999999999999E-2</v>
      </c>
      <c r="L46" s="13">
        <v>1.5469999999999999E-2</v>
      </c>
      <c r="M46" s="14"/>
      <c r="N46" s="14"/>
      <c r="O46" s="14"/>
      <c r="P46" s="14"/>
      <c r="Q46" s="14"/>
      <c r="R46" s="14"/>
      <c r="S46" s="14"/>
      <c r="T46" s="15">
        <f t="shared" si="4"/>
        <v>1.5469999999999999E-2</v>
      </c>
      <c r="U46" s="14"/>
      <c r="V46" s="15" t="str">
        <f t="shared" si="5"/>
        <v/>
      </c>
      <c r="W46" s="16"/>
      <c r="X46" s="17" t="s">
        <v>157</v>
      </c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spans="1:34" ht="15" customHeight="1">
      <c r="A47" s="6">
        <v>47</v>
      </c>
      <c r="B47" s="7">
        <v>4</v>
      </c>
      <c r="C47" s="6" t="str">
        <f t="shared" si="3"/>
        <v xml:space="preserve">    d4</v>
      </c>
      <c r="D47" s="8" t="s">
        <v>158</v>
      </c>
      <c r="E47" s="9" t="s">
        <v>159</v>
      </c>
      <c r="F47" s="10"/>
      <c r="G47" s="10"/>
      <c r="H47" s="7">
        <v>46</v>
      </c>
      <c r="I47" s="11" t="b">
        <f>TRUE()</f>
        <v>1</v>
      </c>
      <c r="J47" s="12">
        <v>0.50626000000000004</v>
      </c>
      <c r="K47" s="12">
        <v>7.8300000000000002E-3</v>
      </c>
      <c r="L47" s="13">
        <v>7.8300000000000002E-3</v>
      </c>
      <c r="M47" s="14"/>
      <c r="N47" s="14"/>
      <c r="O47" s="14"/>
      <c r="P47" s="14"/>
      <c r="Q47" s="14"/>
      <c r="R47" s="14"/>
      <c r="S47" s="14"/>
      <c r="T47" s="15">
        <f t="shared" si="4"/>
        <v>7.8300000000000002E-3</v>
      </c>
      <c r="U47" s="14"/>
      <c r="V47" s="15" t="str">
        <f t="shared" si="5"/>
        <v/>
      </c>
      <c r="W47" s="16"/>
      <c r="X47" s="17" t="s">
        <v>160</v>
      </c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spans="1:34" ht="15" customHeight="1">
      <c r="A48" s="6">
        <v>48</v>
      </c>
      <c r="B48" s="7">
        <v>4</v>
      </c>
      <c r="C48" s="6" t="str">
        <f t="shared" si="3"/>
        <v xml:space="preserve">    exd5</v>
      </c>
      <c r="D48" s="8" t="s">
        <v>161</v>
      </c>
      <c r="E48" s="9" t="s">
        <v>162</v>
      </c>
      <c r="F48" s="10"/>
      <c r="G48" s="10"/>
      <c r="H48" s="7">
        <v>46</v>
      </c>
      <c r="I48" s="11" t="b">
        <f>TRUE()</f>
        <v>1</v>
      </c>
      <c r="J48" s="12">
        <v>0.36085</v>
      </c>
      <c r="K48" s="12">
        <v>5.5799999999999999E-3</v>
      </c>
      <c r="L48" s="13">
        <v>5.5799999999999999E-3</v>
      </c>
      <c r="M48" s="14"/>
      <c r="N48" s="14"/>
      <c r="O48" s="14"/>
      <c r="P48" s="14"/>
      <c r="Q48" s="14"/>
      <c r="R48" s="14"/>
      <c r="S48" s="14"/>
      <c r="T48" s="15">
        <f t="shared" si="4"/>
        <v>5.5799999999999999E-3</v>
      </c>
      <c r="U48" s="14"/>
      <c r="V48" s="15" t="str">
        <f t="shared" si="5"/>
        <v/>
      </c>
      <c r="W48" s="16"/>
      <c r="X48" s="17" t="s">
        <v>163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spans="1:34" ht="15" customHeight="1">
      <c r="A49" s="6">
        <v>49</v>
      </c>
      <c r="B49" s="7">
        <v>4</v>
      </c>
      <c r="C49" s="6" t="str">
        <f t="shared" si="3"/>
        <v xml:space="preserve">    h3</v>
      </c>
      <c r="D49" s="8" t="s">
        <v>164</v>
      </c>
      <c r="E49" s="9" t="s">
        <v>165</v>
      </c>
      <c r="F49" s="10"/>
      <c r="G49" s="10"/>
      <c r="H49" s="7">
        <v>46</v>
      </c>
      <c r="I49" s="11" t="b">
        <f>TRUE()</f>
        <v>1</v>
      </c>
      <c r="J49" s="12">
        <v>7.0019999999999999E-2</v>
      </c>
      <c r="K49" s="12">
        <v>1.08E-3</v>
      </c>
      <c r="L49" s="13">
        <v>1.08E-3</v>
      </c>
      <c r="M49" s="14"/>
      <c r="N49" s="14"/>
      <c r="O49" s="14"/>
      <c r="P49" s="14"/>
      <c r="Q49" s="14"/>
      <c r="R49" s="14"/>
      <c r="S49" s="14"/>
      <c r="T49" s="15">
        <f t="shared" si="4"/>
        <v>1.08E-3</v>
      </c>
      <c r="U49" s="14"/>
      <c r="V49" s="15" t="str">
        <f t="shared" si="5"/>
        <v/>
      </c>
      <c r="W49" s="16"/>
      <c r="X49" s="17" t="s">
        <v>166</v>
      </c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spans="1:34" ht="15" customHeight="1">
      <c r="A50" s="6">
        <v>50</v>
      </c>
      <c r="B50" s="7">
        <v>4</v>
      </c>
      <c r="C50" s="6" t="str">
        <f t="shared" si="3"/>
        <v xml:space="preserve">    d3</v>
      </c>
      <c r="D50" s="8" t="s">
        <v>167</v>
      </c>
      <c r="E50" s="9" t="s">
        <v>168</v>
      </c>
      <c r="F50" s="10"/>
      <c r="G50" s="10"/>
      <c r="H50" s="7">
        <v>46</v>
      </c>
      <c r="I50" s="11" t="b">
        <f>TRUE()</f>
        <v>1</v>
      </c>
      <c r="J50" s="12">
        <v>6.2869999999999995E-2</v>
      </c>
      <c r="K50" s="12">
        <v>9.7000000000000005E-4</v>
      </c>
      <c r="L50" s="13">
        <v>9.7000000000000005E-4</v>
      </c>
      <c r="M50" s="14"/>
      <c r="N50" s="14"/>
      <c r="O50" s="14"/>
      <c r="P50" s="14"/>
      <c r="Q50" s="14"/>
      <c r="R50" s="14"/>
      <c r="S50" s="14"/>
      <c r="T50" s="15">
        <f t="shared" si="4"/>
        <v>9.7000000000000005E-4</v>
      </c>
      <c r="U50" s="14"/>
      <c r="V50" s="15" t="str">
        <f t="shared" si="5"/>
        <v/>
      </c>
      <c r="W50" s="16"/>
      <c r="X50" s="17" t="s">
        <v>169</v>
      </c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spans="1:34" ht="15" customHeight="1">
      <c r="A51" s="6">
        <v>51</v>
      </c>
      <c r="B51" s="7">
        <v>3</v>
      </c>
      <c r="C51" s="6" t="str">
        <f t="shared" si="3"/>
        <v xml:space="preserve">   d4</v>
      </c>
      <c r="D51" s="8" t="s">
        <v>170</v>
      </c>
      <c r="E51" s="9" t="s">
        <v>64</v>
      </c>
      <c r="F51" s="10">
        <v>15</v>
      </c>
      <c r="G51" s="10">
        <v>2</v>
      </c>
      <c r="H51" s="7">
        <v>41</v>
      </c>
      <c r="I51" s="11" t="b">
        <f>TRUE()</f>
        <v>1</v>
      </c>
      <c r="J51" s="12">
        <v>0.14158000000000001</v>
      </c>
      <c r="K51" s="12">
        <v>6.5799999999999999E-3</v>
      </c>
      <c r="L51" s="13">
        <v>6.5799999999999999E-3</v>
      </c>
      <c r="M51" s="14"/>
      <c r="N51" s="14"/>
      <c r="O51" s="14"/>
      <c r="P51" s="14"/>
      <c r="Q51" s="14"/>
      <c r="R51" s="14"/>
      <c r="S51" s="14"/>
      <c r="T51" s="15">
        <f t="shared" si="4"/>
        <v>6.5799999999999999E-3</v>
      </c>
      <c r="U51" s="14"/>
      <c r="V51" s="15" t="str">
        <f t="shared" si="5"/>
        <v/>
      </c>
      <c r="W51" s="16"/>
      <c r="X51" s="17" t="s">
        <v>171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spans="1:34" ht="15" customHeight="1">
      <c r="A52" s="6">
        <v>52</v>
      </c>
      <c r="B52" s="7">
        <v>1</v>
      </c>
      <c r="C52" s="6" t="str">
        <f t="shared" si="3"/>
        <v xml:space="preserve"> d4</v>
      </c>
      <c r="D52" s="8" t="s">
        <v>172</v>
      </c>
      <c r="E52" s="9" t="s">
        <v>173</v>
      </c>
      <c r="F52" s="10"/>
      <c r="G52" s="10"/>
      <c r="H52" s="7"/>
      <c r="I52" s="11" t="b">
        <f>FALSE()</f>
        <v>0</v>
      </c>
      <c r="J52" s="12">
        <v>0.27711999999999998</v>
      </c>
      <c r="K52" s="12">
        <v>0.27711999999999998</v>
      </c>
      <c r="L52" s="13">
        <v>0.27711999999999998</v>
      </c>
      <c r="M52" s="14"/>
      <c r="N52" s="14"/>
      <c r="O52" s="14"/>
      <c r="P52" s="14"/>
      <c r="Q52" s="14"/>
      <c r="R52" s="14"/>
      <c r="S52" s="14"/>
      <c r="T52" s="15">
        <f t="shared" si="4"/>
        <v>0.27711999999999998</v>
      </c>
      <c r="U52" s="14"/>
      <c r="V52" s="15" t="str">
        <f t="shared" si="5"/>
        <v/>
      </c>
      <c r="W52" s="16"/>
      <c r="X52" s="17" t="s">
        <v>174</v>
      </c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spans="1:34" ht="15" customHeight="1">
      <c r="A53" s="6">
        <v>53</v>
      </c>
      <c r="B53" s="7">
        <v>2</v>
      </c>
      <c r="C53" s="6" t="str">
        <f t="shared" si="3"/>
        <v xml:space="preserve">  c4</v>
      </c>
      <c r="D53" s="8" t="s">
        <v>175</v>
      </c>
      <c r="E53" s="9" t="s">
        <v>176</v>
      </c>
      <c r="F53" s="10"/>
      <c r="G53" s="10"/>
      <c r="H53" s="7">
        <v>52</v>
      </c>
      <c r="I53" s="11" t="b">
        <f>FALSE()</f>
        <v>0</v>
      </c>
      <c r="J53" s="12">
        <v>0.46808</v>
      </c>
      <c r="K53" s="12">
        <v>0.12972</v>
      </c>
      <c r="L53" s="13">
        <v>0.12972</v>
      </c>
      <c r="M53" s="14"/>
      <c r="N53" s="14"/>
      <c r="O53" s="14"/>
      <c r="P53" s="14"/>
      <c r="Q53" s="14"/>
      <c r="R53" s="14"/>
      <c r="S53" s="14"/>
      <c r="T53" s="15">
        <f t="shared" si="4"/>
        <v>0.12972</v>
      </c>
      <c r="U53" s="14"/>
      <c r="V53" s="15" t="str">
        <f t="shared" si="5"/>
        <v/>
      </c>
      <c r="W53" s="16"/>
      <c r="X53" s="17" t="s">
        <v>177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ht="15" customHeight="1">
      <c r="A54" s="6">
        <v>54</v>
      </c>
      <c r="B54" s="7">
        <v>3</v>
      </c>
      <c r="C54" s="6" t="str">
        <f t="shared" si="3"/>
        <v xml:space="preserve">   Nc3</v>
      </c>
      <c r="D54" s="8" t="s">
        <v>178</v>
      </c>
      <c r="E54" s="9" t="s">
        <v>179</v>
      </c>
      <c r="F54" s="10"/>
      <c r="G54" s="10"/>
      <c r="H54" s="7">
        <v>53</v>
      </c>
      <c r="I54" s="11" t="b">
        <f>FALSE()</f>
        <v>0</v>
      </c>
      <c r="J54" s="12">
        <v>0.3296</v>
      </c>
      <c r="K54" s="12">
        <v>4.2759999999999999E-2</v>
      </c>
      <c r="L54" s="13">
        <v>4.2759999999999999E-2</v>
      </c>
      <c r="M54" s="14"/>
      <c r="N54" s="14"/>
      <c r="O54" s="14"/>
      <c r="P54" s="14"/>
      <c r="Q54" s="14"/>
      <c r="R54" s="14"/>
      <c r="S54" s="14"/>
      <c r="T54" s="15">
        <f t="shared" si="4"/>
        <v>4.2759999999999999E-2</v>
      </c>
      <c r="U54" s="14"/>
      <c r="V54" s="15" t="str">
        <f t="shared" si="5"/>
        <v/>
      </c>
      <c r="W54" s="16"/>
      <c r="X54" s="17" t="s">
        <v>180</v>
      </c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spans="1:34" ht="15" customHeight="1">
      <c r="A55" s="6">
        <v>55</v>
      </c>
      <c r="B55" s="7">
        <v>4</v>
      </c>
      <c r="C55" s="6" t="str">
        <f t="shared" si="3"/>
        <v xml:space="preserve">    a4</v>
      </c>
      <c r="D55" s="8" t="s">
        <v>181</v>
      </c>
      <c r="E55" s="9" t="s">
        <v>182</v>
      </c>
      <c r="F55" s="10"/>
      <c r="G55" s="10"/>
      <c r="H55" s="7">
        <v>54</v>
      </c>
      <c r="I55" s="11" t="b">
        <f>TRUE()</f>
        <v>1</v>
      </c>
      <c r="J55" s="12">
        <v>0.51722000000000001</v>
      </c>
      <c r="K55" s="12">
        <v>2.2110000000000001E-2</v>
      </c>
      <c r="L55" s="13">
        <v>2.2110000000000001E-2</v>
      </c>
      <c r="M55" s="14"/>
      <c r="N55" s="14"/>
      <c r="O55" s="14"/>
      <c r="P55" s="14"/>
      <c r="Q55" s="14"/>
      <c r="R55" s="14"/>
      <c r="S55" s="14"/>
      <c r="T55" s="15">
        <f t="shared" si="4"/>
        <v>2.2110000000000001E-2</v>
      </c>
      <c r="U55" s="14"/>
      <c r="V55" s="15" t="str">
        <f t="shared" si="5"/>
        <v/>
      </c>
      <c r="W55" s="16"/>
      <c r="X55" s="17" t="s">
        <v>183</v>
      </c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ht="15" customHeight="1">
      <c r="A56" s="6">
        <v>56</v>
      </c>
      <c r="B56" s="7">
        <v>4</v>
      </c>
      <c r="C56" s="6" t="str">
        <f t="shared" si="3"/>
        <v xml:space="preserve">    e4</v>
      </c>
      <c r="D56" s="8" t="s">
        <v>184</v>
      </c>
      <c r="E56" s="9" t="s">
        <v>185</v>
      </c>
      <c r="F56" s="10"/>
      <c r="G56" s="10"/>
      <c r="H56" s="7">
        <v>54</v>
      </c>
      <c r="I56" s="11" t="b">
        <f>TRUE()</f>
        <v>1</v>
      </c>
      <c r="J56" s="12">
        <v>0.27676000000000001</v>
      </c>
      <c r="K56" s="12">
        <v>1.183E-2</v>
      </c>
      <c r="L56" s="13">
        <v>1.183E-2</v>
      </c>
      <c r="M56" s="14"/>
      <c r="N56" s="14"/>
      <c r="O56" s="14"/>
      <c r="P56" s="14"/>
      <c r="Q56" s="14"/>
      <c r="R56" s="14"/>
      <c r="S56" s="14"/>
      <c r="T56" s="15">
        <f t="shared" si="4"/>
        <v>1.183E-2</v>
      </c>
      <c r="U56" s="14"/>
      <c r="V56" s="15" t="str">
        <f t="shared" si="5"/>
        <v/>
      </c>
      <c r="W56" s="16"/>
      <c r="X56" s="17" t="s">
        <v>186</v>
      </c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spans="1:34" ht="15" customHeight="1">
      <c r="A57" s="6">
        <v>57</v>
      </c>
      <c r="B57" s="7">
        <v>4</v>
      </c>
      <c r="C57" s="6" t="str">
        <f t="shared" si="3"/>
        <v xml:space="preserve">    e3</v>
      </c>
      <c r="D57" s="8" t="s">
        <v>187</v>
      </c>
      <c r="E57" s="9" t="s">
        <v>188</v>
      </c>
      <c r="F57" s="10"/>
      <c r="G57" s="10"/>
      <c r="H57" s="7">
        <v>54</v>
      </c>
      <c r="I57" s="11" t="b">
        <f>TRUE()</f>
        <v>1</v>
      </c>
      <c r="J57" s="12">
        <v>0.13205</v>
      </c>
      <c r="K57" s="12">
        <v>5.6499999999999996E-3</v>
      </c>
      <c r="L57" s="13">
        <v>5.6499999999999996E-3</v>
      </c>
      <c r="M57" s="14"/>
      <c r="N57" s="14"/>
      <c r="O57" s="14"/>
      <c r="P57" s="14"/>
      <c r="Q57" s="14"/>
      <c r="R57" s="14"/>
      <c r="S57" s="14"/>
      <c r="T57" s="15">
        <f t="shared" si="4"/>
        <v>5.6499999999999996E-3</v>
      </c>
      <c r="U57" s="14"/>
      <c r="V57" s="15" t="str">
        <f t="shared" si="5"/>
        <v/>
      </c>
      <c r="W57" s="16"/>
      <c r="X57" s="17" t="s">
        <v>189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spans="1:34" ht="15" customHeight="1">
      <c r="A58" s="6">
        <v>58</v>
      </c>
      <c r="B58" s="7">
        <v>4</v>
      </c>
      <c r="C58" s="6" t="str">
        <f t="shared" si="3"/>
        <v xml:space="preserve">    Nf3</v>
      </c>
      <c r="D58" s="8" t="s">
        <v>190</v>
      </c>
      <c r="E58" s="9" t="s">
        <v>191</v>
      </c>
      <c r="F58" s="10"/>
      <c r="G58" s="10"/>
      <c r="H58" s="7">
        <v>54</v>
      </c>
      <c r="I58" s="11" t="b">
        <f>TRUE()</f>
        <v>1</v>
      </c>
      <c r="J58" s="12">
        <v>7.3959999999999998E-2</v>
      </c>
      <c r="K58" s="12">
        <v>3.16E-3</v>
      </c>
      <c r="L58" s="13">
        <v>3.16E-3</v>
      </c>
      <c r="M58" s="14"/>
      <c r="N58" s="14"/>
      <c r="O58" s="14"/>
      <c r="P58" s="14"/>
      <c r="Q58" s="14"/>
      <c r="R58" s="14"/>
      <c r="S58" s="14"/>
      <c r="T58" s="15">
        <f t="shared" si="4"/>
        <v>3.16E-3</v>
      </c>
      <c r="U58" s="14"/>
      <c r="V58" s="15" t="str">
        <f t="shared" si="5"/>
        <v/>
      </c>
      <c r="W58" s="16"/>
      <c r="X58" s="17" t="s">
        <v>192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spans="1:34" ht="15" customHeight="1">
      <c r="A59" s="6">
        <v>59</v>
      </c>
      <c r="B59" s="7">
        <v>3</v>
      </c>
      <c r="C59" s="6" t="str">
        <f t="shared" si="3"/>
        <v xml:space="preserve">   e3</v>
      </c>
      <c r="D59" s="8" t="s">
        <v>193</v>
      </c>
      <c r="E59" s="9" t="s">
        <v>194</v>
      </c>
      <c r="F59" s="10"/>
      <c r="G59" s="10"/>
      <c r="H59" s="7">
        <v>53</v>
      </c>
      <c r="I59" s="11" t="b">
        <f>FALSE()</f>
        <v>0</v>
      </c>
      <c r="J59" s="12">
        <v>0.31219000000000002</v>
      </c>
      <c r="K59" s="12">
        <v>4.0500000000000001E-2</v>
      </c>
      <c r="L59" s="13">
        <v>4.0500000000000001E-2</v>
      </c>
      <c r="M59" s="14"/>
      <c r="N59" s="14"/>
      <c r="O59" s="14"/>
      <c r="P59" s="14"/>
      <c r="Q59" s="14"/>
      <c r="R59" s="14"/>
      <c r="S59" s="14"/>
      <c r="T59" s="15">
        <f t="shared" si="4"/>
        <v>4.0500000000000001E-2</v>
      </c>
      <c r="U59" s="14"/>
      <c r="V59" s="15" t="str">
        <f t="shared" si="5"/>
        <v/>
      </c>
      <c r="W59" s="16"/>
      <c r="X59" s="17" t="s">
        <v>195</v>
      </c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spans="1:34" ht="15" customHeight="1">
      <c r="A60" s="6">
        <v>60</v>
      </c>
      <c r="B60" s="7">
        <v>4</v>
      </c>
      <c r="C60" s="6" t="str">
        <f t="shared" si="3"/>
        <v xml:space="preserve">    Bxc4</v>
      </c>
      <c r="D60" s="8" t="s">
        <v>196</v>
      </c>
      <c r="E60" s="9" t="s">
        <v>197</v>
      </c>
      <c r="F60" s="10"/>
      <c r="G60" s="10"/>
      <c r="H60" s="7">
        <v>59</v>
      </c>
      <c r="I60" s="11" t="b">
        <f>TRUE()</f>
        <v>1</v>
      </c>
      <c r="J60" s="12">
        <v>1</v>
      </c>
      <c r="K60" s="12">
        <v>4.0500000000000001E-2</v>
      </c>
      <c r="L60" s="13">
        <v>4.0500000000000001E-2</v>
      </c>
      <c r="M60" s="14"/>
      <c r="N60" s="14"/>
      <c r="O60" s="14"/>
      <c r="P60" s="14"/>
      <c r="Q60" s="14"/>
      <c r="R60" s="14"/>
      <c r="S60" s="14"/>
      <c r="T60" s="15">
        <f t="shared" si="4"/>
        <v>4.0500000000000001E-2</v>
      </c>
      <c r="U60" s="14"/>
      <c r="V60" s="15" t="str">
        <f t="shared" si="5"/>
        <v/>
      </c>
      <c r="W60" s="16"/>
      <c r="X60" s="17" t="s">
        <v>198</v>
      </c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spans="1:34" ht="15" customHeight="1">
      <c r="A61" s="6">
        <v>61</v>
      </c>
      <c r="B61" s="7">
        <v>3</v>
      </c>
      <c r="C61" s="6" t="str">
        <f t="shared" si="3"/>
        <v xml:space="preserve">   e4</v>
      </c>
      <c r="D61" s="8" t="s">
        <v>199</v>
      </c>
      <c r="E61" s="9" t="s">
        <v>200</v>
      </c>
      <c r="F61" s="10"/>
      <c r="G61" s="10"/>
      <c r="H61" s="7">
        <v>53</v>
      </c>
      <c r="I61" s="11" t="b">
        <f>FALSE()</f>
        <v>0</v>
      </c>
      <c r="J61" s="12">
        <v>0.27311999999999997</v>
      </c>
      <c r="K61" s="12">
        <v>3.5430000000000003E-2</v>
      </c>
      <c r="L61" s="13">
        <v>3.5430000000000003E-2</v>
      </c>
      <c r="M61" s="14"/>
      <c r="N61" s="14"/>
      <c r="O61" s="14"/>
      <c r="P61" s="14"/>
      <c r="Q61" s="14"/>
      <c r="R61" s="14"/>
      <c r="S61" s="14"/>
      <c r="T61" s="15">
        <f t="shared" si="4"/>
        <v>3.5430000000000003E-2</v>
      </c>
      <c r="U61" s="14"/>
      <c r="V61" s="15" t="str">
        <f t="shared" si="5"/>
        <v/>
      </c>
      <c r="W61" s="16"/>
      <c r="X61" s="17" t="s">
        <v>201</v>
      </c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spans="1:34" ht="15" customHeight="1">
      <c r="A62" s="6">
        <v>62</v>
      </c>
      <c r="B62" s="7">
        <v>4</v>
      </c>
      <c r="C62" s="6" t="str">
        <f t="shared" si="3"/>
        <v xml:space="preserve">    a4</v>
      </c>
      <c r="D62" s="8" t="s">
        <v>202</v>
      </c>
      <c r="E62" s="9" t="s">
        <v>203</v>
      </c>
      <c r="F62" s="10"/>
      <c r="G62" s="10"/>
      <c r="H62" s="7">
        <v>61</v>
      </c>
      <c r="I62" s="11" t="b">
        <f>TRUE()</f>
        <v>1</v>
      </c>
      <c r="J62" s="12">
        <v>0.59097999999999995</v>
      </c>
      <c r="K62" s="12">
        <v>2.094E-2</v>
      </c>
      <c r="L62" s="13">
        <v>2.094E-2</v>
      </c>
      <c r="M62" s="14"/>
      <c r="N62" s="14"/>
      <c r="O62" s="14"/>
      <c r="P62" s="14"/>
      <c r="Q62" s="14"/>
      <c r="R62" s="14"/>
      <c r="S62" s="14"/>
      <c r="T62" s="15">
        <f t="shared" si="4"/>
        <v>2.094E-2</v>
      </c>
      <c r="U62" s="14"/>
      <c r="V62" s="15" t="str">
        <f t="shared" si="5"/>
        <v/>
      </c>
      <c r="W62" s="16"/>
      <c r="X62" s="17" t="s">
        <v>204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spans="1:34" ht="15" customHeight="1">
      <c r="A63" s="6">
        <v>63</v>
      </c>
      <c r="B63" s="7">
        <v>4</v>
      </c>
      <c r="C63" s="6" t="str">
        <f t="shared" si="3"/>
        <v xml:space="preserve">    Nc3</v>
      </c>
      <c r="D63" s="8" t="s">
        <v>205</v>
      </c>
      <c r="E63" s="9" t="s">
        <v>206</v>
      </c>
      <c r="F63" s="10"/>
      <c r="G63" s="10"/>
      <c r="H63" s="7">
        <v>61</v>
      </c>
      <c r="I63" s="11" t="b">
        <f>TRUE()</f>
        <v>1</v>
      </c>
      <c r="J63" s="12">
        <v>0.32425999999999999</v>
      </c>
      <c r="K63" s="12">
        <v>1.149E-2</v>
      </c>
      <c r="L63" s="13">
        <v>1.149E-2</v>
      </c>
      <c r="M63" s="14"/>
      <c r="N63" s="14"/>
      <c r="O63" s="14"/>
      <c r="P63" s="14"/>
      <c r="Q63" s="14"/>
      <c r="R63" s="14"/>
      <c r="S63" s="14"/>
      <c r="T63" s="15">
        <f t="shared" si="4"/>
        <v>1.149E-2</v>
      </c>
      <c r="U63" s="14"/>
      <c r="V63" s="15" t="str">
        <f t="shared" si="5"/>
        <v/>
      </c>
      <c r="W63" s="16"/>
      <c r="X63" s="17" t="s">
        <v>207</v>
      </c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spans="1:34" ht="15" customHeight="1">
      <c r="A64" s="6">
        <v>64</v>
      </c>
      <c r="B64" s="7">
        <v>4</v>
      </c>
      <c r="C64" s="6" t="str">
        <f t="shared" si="3"/>
        <v xml:space="preserve">    Nf3</v>
      </c>
      <c r="D64" s="8" t="s">
        <v>208</v>
      </c>
      <c r="E64" s="9" t="s">
        <v>209</v>
      </c>
      <c r="F64" s="10"/>
      <c r="G64" s="10"/>
      <c r="H64" s="7">
        <v>61</v>
      </c>
      <c r="I64" s="11" t="b">
        <f>TRUE()</f>
        <v>1</v>
      </c>
      <c r="J64" s="12">
        <v>8.4760000000000002E-2</v>
      </c>
      <c r="K64" s="12">
        <v>3.0000000000000001E-3</v>
      </c>
      <c r="L64" s="13">
        <v>3.0000000000000001E-3</v>
      </c>
      <c r="M64" s="14"/>
      <c r="N64" s="14"/>
      <c r="O64" s="14"/>
      <c r="P64" s="14"/>
      <c r="Q64" s="14"/>
      <c r="R64" s="14"/>
      <c r="S64" s="14"/>
      <c r="T64" s="15">
        <f t="shared" si="4"/>
        <v>3.0000000000000001E-3</v>
      </c>
      <c r="U64" s="14"/>
      <c r="V64" s="15" t="str">
        <f t="shared" si="5"/>
        <v/>
      </c>
      <c r="W64" s="16"/>
      <c r="X64" s="17" t="s">
        <v>210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spans="1:34" ht="15" customHeight="1">
      <c r="A65" s="6">
        <v>65</v>
      </c>
      <c r="B65" s="7">
        <v>3</v>
      </c>
      <c r="C65" s="6" t="str">
        <f t="shared" si="3"/>
        <v xml:space="preserve">   Nf3</v>
      </c>
      <c r="D65" s="8" t="s">
        <v>211</v>
      </c>
      <c r="E65" s="9" t="s">
        <v>212</v>
      </c>
      <c r="F65" s="10"/>
      <c r="G65" s="10"/>
      <c r="H65" s="7">
        <v>53</v>
      </c>
      <c r="I65" s="11" t="b">
        <f>FALSE()</f>
        <v>0</v>
      </c>
      <c r="J65" s="12">
        <v>8.5089999999999999E-2</v>
      </c>
      <c r="K65" s="12">
        <v>1.1039999999999999E-2</v>
      </c>
      <c r="L65" s="13">
        <v>1.1039999999999999E-2</v>
      </c>
      <c r="M65" s="14"/>
      <c r="N65" s="14"/>
      <c r="O65" s="14"/>
      <c r="P65" s="14"/>
      <c r="Q65" s="14"/>
      <c r="R65" s="14"/>
      <c r="S65" s="14"/>
      <c r="T65" s="15">
        <f t="shared" si="4"/>
        <v>1.1039999999999999E-2</v>
      </c>
      <c r="U65" s="14"/>
      <c r="V65" s="15" t="str">
        <f t="shared" si="5"/>
        <v/>
      </c>
      <c r="W65" s="16"/>
      <c r="X65" s="17" t="s">
        <v>213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spans="1:34" ht="15" customHeight="1">
      <c r="A66" s="6">
        <v>66</v>
      </c>
      <c r="B66" s="7">
        <v>4</v>
      </c>
      <c r="C66" s="6" t="str">
        <f t="shared" ref="C66:C97" si="6">REPT(" ",B66)&amp;TRIM(RIGHT(SUBSTITUTE(D66," ",REPT(" ",99)),99))</f>
        <v xml:space="preserve">    Nc3</v>
      </c>
      <c r="D66" s="8" t="s">
        <v>214</v>
      </c>
      <c r="E66" s="9" t="s">
        <v>215</v>
      </c>
      <c r="F66" s="10"/>
      <c r="G66" s="10"/>
      <c r="H66" s="7">
        <v>65</v>
      </c>
      <c r="I66" s="11" t="b">
        <f>TRUE()</f>
        <v>1</v>
      </c>
      <c r="J66" s="12">
        <v>0.60497999999999996</v>
      </c>
      <c r="K66" s="12">
        <v>6.6800000000000002E-3</v>
      </c>
      <c r="L66" s="13">
        <v>6.6800000000000002E-3</v>
      </c>
      <c r="M66" s="14"/>
      <c r="N66" s="14"/>
      <c r="O66" s="14"/>
      <c r="P66" s="14"/>
      <c r="Q66" s="14"/>
      <c r="R66" s="14"/>
      <c r="S66" s="14"/>
      <c r="T66" s="15">
        <f t="shared" ref="T66:T97" si="7">L66+SUM(M66:S66)</f>
        <v>6.6800000000000002E-3</v>
      </c>
      <c r="U66" s="14"/>
      <c r="V66" s="15" t="str">
        <f t="shared" ref="V66:V97" si="8">IF(U66="","",T66-U66)</f>
        <v/>
      </c>
      <c r="W66" s="16"/>
      <c r="X66" s="17" t="s">
        <v>216</v>
      </c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spans="1:34" ht="15" customHeight="1">
      <c r="A67" s="6">
        <v>67</v>
      </c>
      <c r="B67" s="7">
        <v>4</v>
      </c>
      <c r="C67" s="6" t="str">
        <f t="shared" si="6"/>
        <v xml:space="preserve">    e3</v>
      </c>
      <c r="D67" s="8" t="s">
        <v>217</v>
      </c>
      <c r="E67" s="9" t="s">
        <v>218</v>
      </c>
      <c r="F67" s="10"/>
      <c r="G67" s="10"/>
      <c r="H67" s="7">
        <v>65</v>
      </c>
      <c r="I67" s="11" t="b">
        <f>TRUE()</f>
        <v>1</v>
      </c>
      <c r="J67" s="12">
        <v>0.26173000000000002</v>
      </c>
      <c r="K67" s="12">
        <v>2.8900000000000002E-3</v>
      </c>
      <c r="L67" s="13">
        <v>2.8900000000000002E-3</v>
      </c>
      <c r="M67" s="14"/>
      <c r="N67" s="14"/>
      <c r="O67" s="14"/>
      <c r="P67" s="14"/>
      <c r="Q67" s="14"/>
      <c r="R67" s="14"/>
      <c r="S67" s="14"/>
      <c r="T67" s="15">
        <f t="shared" si="7"/>
        <v>2.8900000000000002E-3</v>
      </c>
      <c r="U67" s="14"/>
      <c r="V67" s="15" t="str">
        <f t="shared" si="8"/>
        <v/>
      </c>
      <c r="W67" s="16"/>
      <c r="X67" s="17" t="s">
        <v>219</v>
      </c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spans="1:34" ht="15" customHeight="1">
      <c r="A68" s="6">
        <v>68</v>
      </c>
      <c r="B68" s="7">
        <v>4</v>
      </c>
      <c r="C68" s="6" t="str">
        <f t="shared" si="6"/>
        <v xml:space="preserve">    Qa4+</v>
      </c>
      <c r="D68" s="8" t="s">
        <v>220</v>
      </c>
      <c r="E68" s="9" t="s">
        <v>221</v>
      </c>
      <c r="F68" s="10"/>
      <c r="G68" s="10"/>
      <c r="H68" s="7">
        <v>65</v>
      </c>
      <c r="I68" s="11" t="b">
        <f>TRUE()</f>
        <v>1</v>
      </c>
      <c r="J68" s="12">
        <v>7.8340000000000007E-2</v>
      </c>
      <c r="K68" s="12">
        <v>8.5999999999999998E-4</v>
      </c>
      <c r="L68" s="13">
        <v>8.5999999999999998E-4</v>
      </c>
      <c r="M68" s="14"/>
      <c r="N68" s="14"/>
      <c r="O68" s="14"/>
      <c r="P68" s="14"/>
      <c r="Q68" s="14"/>
      <c r="R68" s="14"/>
      <c r="S68" s="14"/>
      <c r="T68" s="15">
        <f t="shared" si="7"/>
        <v>8.5999999999999998E-4</v>
      </c>
      <c r="U68" s="14"/>
      <c r="V68" s="15" t="str">
        <f t="shared" si="8"/>
        <v/>
      </c>
      <c r="W68" s="16"/>
      <c r="X68" s="17" t="s">
        <v>222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spans="1:34" ht="15" customHeight="1">
      <c r="A69" s="6">
        <v>69</v>
      </c>
      <c r="B69" s="7">
        <v>4</v>
      </c>
      <c r="C69" s="6" t="str">
        <f t="shared" si="6"/>
        <v xml:space="preserve">    g3</v>
      </c>
      <c r="D69" s="8" t="s">
        <v>223</v>
      </c>
      <c r="E69" s="9" t="s">
        <v>224</v>
      </c>
      <c r="F69" s="10"/>
      <c r="G69" s="10"/>
      <c r="H69" s="7">
        <v>65</v>
      </c>
      <c r="I69" s="11" t="b">
        <f>TRUE()</f>
        <v>1</v>
      </c>
      <c r="J69" s="12">
        <v>5.4949999999999999E-2</v>
      </c>
      <c r="K69" s="12">
        <v>6.0999999999999997E-4</v>
      </c>
      <c r="L69" s="13">
        <v>6.0999999999999997E-4</v>
      </c>
      <c r="M69" s="14"/>
      <c r="N69" s="14"/>
      <c r="O69" s="14"/>
      <c r="P69" s="14"/>
      <c r="Q69" s="14"/>
      <c r="R69" s="14"/>
      <c r="S69" s="14"/>
      <c r="T69" s="15">
        <f t="shared" si="7"/>
        <v>6.0999999999999997E-4</v>
      </c>
      <c r="U69" s="14"/>
      <c r="V69" s="15" t="str">
        <f t="shared" si="8"/>
        <v/>
      </c>
      <c r="W69" s="16"/>
      <c r="X69" s="17" t="s">
        <v>225</v>
      </c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spans="1:34" ht="15" customHeight="1">
      <c r="A70" s="6">
        <v>70</v>
      </c>
      <c r="B70" s="7">
        <v>2</v>
      </c>
      <c r="C70" s="6" t="str">
        <f t="shared" si="6"/>
        <v xml:space="preserve">  Bf4</v>
      </c>
      <c r="D70" s="8" t="s">
        <v>226</v>
      </c>
      <c r="E70" s="9" t="s">
        <v>227</v>
      </c>
      <c r="F70" s="10"/>
      <c r="G70" s="10"/>
      <c r="H70" s="7">
        <v>52</v>
      </c>
      <c r="I70" s="11" t="b">
        <f>FALSE()</f>
        <v>0</v>
      </c>
      <c r="J70" s="12">
        <v>0.21174999999999999</v>
      </c>
      <c r="K70" s="12">
        <v>5.8680000000000003E-2</v>
      </c>
      <c r="L70" s="13">
        <v>5.8680000000000003E-2</v>
      </c>
      <c r="M70" s="14"/>
      <c r="N70" s="14"/>
      <c r="O70" s="14"/>
      <c r="P70" s="14"/>
      <c r="Q70" s="14"/>
      <c r="R70" s="14"/>
      <c r="S70" s="14"/>
      <c r="T70" s="15">
        <f t="shared" si="7"/>
        <v>5.8680000000000003E-2</v>
      </c>
      <c r="U70" s="14"/>
      <c r="V70" s="15" t="str">
        <f t="shared" si="8"/>
        <v/>
      </c>
      <c r="W70" s="16"/>
      <c r="X70" s="17" t="s">
        <v>228</v>
      </c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 spans="1:34" ht="15" customHeight="1">
      <c r="A71" s="6">
        <v>71</v>
      </c>
      <c r="B71" s="7">
        <v>3</v>
      </c>
      <c r="C71" s="6" t="str">
        <f t="shared" si="6"/>
        <v xml:space="preserve">   e3</v>
      </c>
      <c r="D71" s="8" t="s">
        <v>229</v>
      </c>
      <c r="E71" s="9" t="s">
        <v>230</v>
      </c>
      <c r="F71" s="10"/>
      <c r="G71" s="10"/>
      <c r="H71" s="7">
        <v>70</v>
      </c>
      <c r="I71" s="11" t="b">
        <f>FALSE()</f>
        <v>0</v>
      </c>
      <c r="J71" s="12">
        <v>0.40771000000000002</v>
      </c>
      <c r="K71" s="12">
        <v>2.392E-2</v>
      </c>
      <c r="L71" s="13">
        <v>2.392E-2</v>
      </c>
      <c r="M71" s="14"/>
      <c r="N71" s="14"/>
      <c r="O71" s="14"/>
      <c r="P71" s="14"/>
      <c r="Q71" s="14"/>
      <c r="R71" s="14"/>
      <c r="S71" s="14"/>
      <c r="T71" s="15">
        <f t="shared" si="7"/>
        <v>2.392E-2</v>
      </c>
      <c r="U71" s="14"/>
      <c r="V71" s="15" t="str">
        <f t="shared" si="8"/>
        <v/>
      </c>
      <c r="W71" s="16"/>
      <c r="X71" s="17" t="s">
        <v>231</v>
      </c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 spans="1:34" ht="15" customHeight="1">
      <c r="A72" s="6">
        <v>72</v>
      </c>
      <c r="B72" s="7">
        <v>4</v>
      </c>
      <c r="C72" s="6" t="str">
        <f t="shared" si="6"/>
        <v xml:space="preserve">    Bxe5</v>
      </c>
      <c r="D72" s="8" t="s">
        <v>232</v>
      </c>
      <c r="E72" s="9" t="s">
        <v>233</v>
      </c>
      <c r="F72" s="10"/>
      <c r="G72" s="10"/>
      <c r="H72" s="7">
        <v>71</v>
      </c>
      <c r="I72" s="11" t="b">
        <f>TRUE()</f>
        <v>1</v>
      </c>
      <c r="J72" s="12">
        <v>0.56530999999999998</v>
      </c>
      <c r="K72" s="12">
        <v>1.3520000000000001E-2</v>
      </c>
      <c r="L72" s="13">
        <v>1.3520000000000001E-2</v>
      </c>
      <c r="M72" s="14"/>
      <c r="N72" s="14"/>
      <c r="O72" s="14"/>
      <c r="P72" s="14"/>
      <c r="Q72" s="14"/>
      <c r="R72" s="14"/>
      <c r="S72" s="14"/>
      <c r="T72" s="15">
        <f t="shared" si="7"/>
        <v>1.3520000000000001E-2</v>
      </c>
      <c r="U72" s="14"/>
      <c r="V72" s="15" t="str">
        <f t="shared" si="8"/>
        <v/>
      </c>
      <c r="W72" s="16"/>
      <c r="X72" s="17" t="s">
        <v>234</v>
      </c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 spans="1:34" ht="15" customHeight="1">
      <c r="A73" s="6">
        <v>73</v>
      </c>
      <c r="B73" s="7">
        <v>4</v>
      </c>
      <c r="C73" s="6" t="str">
        <f t="shared" si="6"/>
        <v xml:space="preserve">    dxe5</v>
      </c>
      <c r="D73" s="8" t="s">
        <v>235</v>
      </c>
      <c r="E73" s="9" t="s">
        <v>236</v>
      </c>
      <c r="F73" s="10"/>
      <c r="G73" s="10"/>
      <c r="H73" s="7">
        <v>71</v>
      </c>
      <c r="I73" s="11" t="b">
        <f>TRUE()</f>
        <v>1</v>
      </c>
      <c r="J73" s="12">
        <v>0.43469000000000002</v>
      </c>
      <c r="K73" s="12">
        <v>1.04E-2</v>
      </c>
      <c r="L73" s="13">
        <v>1.04E-2</v>
      </c>
      <c r="M73" s="14"/>
      <c r="N73" s="14"/>
      <c r="O73" s="14"/>
      <c r="P73" s="14"/>
      <c r="Q73" s="14"/>
      <c r="R73" s="14"/>
      <c r="S73" s="14"/>
      <c r="T73" s="15">
        <f t="shared" si="7"/>
        <v>1.04E-2</v>
      </c>
      <c r="U73" s="14"/>
      <c r="V73" s="15" t="str">
        <f t="shared" si="8"/>
        <v/>
      </c>
      <c r="W73" s="16"/>
      <c r="X73" s="17" t="s">
        <v>237</v>
      </c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 spans="1:34" ht="15" customHeight="1">
      <c r="A74" s="6">
        <v>74</v>
      </c>
      <c r="B74" s="7">
        <v>3</v>
      </c>
      <c r="C74" s="6" t="str">
        <f t="shared" si="6"/>
        <v xml:space="preserve">   Nf3</v>
      </c>
      <c r="D74" s="8" t="s">
        <v>238</v>
      </c>
      <c r="E74" s="9" t="s">
        <v>239</v>
      </c>
      <c r="F74" s="10"/>
      <c r="G74" s="10"/>
      <c r="H74" s="7">
        <v>70</v>
      </c>
      <c r="I74" s="11" t="b">
        <f>FALSE()</f>
        <v>0</v>
      </c>
      <c r="J74" s="12">
        <v>0.23057</v>
      </c>
      <c r="K74" s="12">
        <v>1.353E-2</v>
      </c>
      <c r="L74" s="13">
        <v>1.353E-2</v>
      </c>
      <c r="M74" s="14"/>
      <c r="N74" s="14"/>
      <c r="O74" s="14"/>
      <c r="P74" s="14"/>
      <c r="Q74" s="14"/>
      <c r="R74" s="14"/>
      <c r="S74" s="14"/>
      <c r="T74" s="15">
        <f t="shared" si="7"/>
        <v>1.353E-2</v>
      </c>
      <c r="U74" s="14"/>
      <c r="V74" s="15" t="str">
        <f t="shared" si="8"/>
        <v/>
      </c>
      <c r="W74" s="16"/>
      <c r="X74" s="17" t="s">
        <v>240</v>
      </c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spans="1:34" ht="15" customHeight="1">
      <c r="A75" s="6">
        <v>75</v>
      </c>
      <c r="B75" s="7">
        <v>4</v>
      </c>
      <c r="C75" s="6" t="str">
        <f t="shared" si="6"/>
        <v xml:space="preserve">    e3</v>
      </c>
      <c r="D75" s="8" t="s">
        <v>241</v>
      </c>
      <c r="E75" s="9" t="s">
        <v>242</v>
      </c>
      <c r="F75" s="10"/>
      <c r="G75" s="10"/>
      <c r="H75" s="7">
        <v>74</v>
      </c>
      <c r="I75" s="11" t="b">
        <f>TRUE()</f>
        <v>1</v>
      </c>
      <c r="J75" s="12">
        <v>0.69638</v>
      </c>
      <c r="K75" s="12">
        <v>9.4199999999999996E-3</v>
      </c>
      <c r="L75" s="13">
        <v>9.4199999999999996E-3</v>
      </c>
      <c r="M75" s="14"/>
      <c r="N75" s="14"/>
      <c r="O75" s="14"/>
      <c r="P75" s="14"/>
      <c r="Q75" s="14"/>
      <c r="R75" s="14"/>
      <c r="S75" s="14"/>
      <c r="T75" s="15">
        <f t="shared" si="7"/>
        <v>9.4199999999999996E-3</v>
      </c>
      <c r="U75" s="14"/>
      <c r="V75" s="15" t="str">
        <f t="shared" si="8"/>
        <v/>
      </c>
      <c r="W75" s="16"/>
      <c r="X75" s="17" t="s">
        <v>243</v>
      </c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spans="1:34" ht="15" customHeight="1">
      <c r="A76" s="6">
        <v>76</v>
      </c>
      <c r="B76" s="7">
        <v>4</v>
      </c>
      <c r="C76" s="6" t="str">
        <f t="shared" si="6"/>
        <v xml:space="preserve">    h3</v>
      </c>
      <c r="D76" s="8" t="s">
        <v>244</v>
      </c>
      <c r="E76" s="9" t="s">
        <v>245</v>
      </c>
      <c r="F76" s="10"/>
      <c r="G76" s="10"/>
      <c r="H76" s="7">
        <v>74</v>
      </c>
      <c r="I76" s="11" t="b">
        <f>TRUE()</f>
        <v>1</v>
      </c>
      <c r="J76" s="12">
        <v>0.23801</v>
      </c>
      <c r="K76" s="12">
        <v>3.2200000000000002E-3</v>
      </c>
      <c r="L76" s="13">
        <v>3.2200000000000002E-3</v>
      </c>
      <c r="M76" s="14"/>
      <c r="N76" s="14"/>
      <c r="O76" s="14"/>
      <c r="P76" s="14"/>
      <c r="Q76" s="14"/>
      <c r="R76" s="14"/>
      <c r="S76" s="14"/>
      <c r="T76" s="15">
        <f t="shared" si="7"/>
        <v>3.2200000000000002E-3</v>
      </c>
      <c r="U76" s="14"/>
      <c r="V76" s="15" t="str">
        <f t="shared" si="8"/>
        <v/>
      </c>
      <c r="W76" s="16"/>
      <c r="X76" s="17" t="s">
        <v>246</v>
      </c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spans="1:34" ht="15" customHeight="1">
      <c r="A77" s="6">
        <v>77</v>
      </c>
      <c r="B77" s="7">
        <v>4</v>
      </c>
      <c r="C77" s="6" t="str">
        <f t="shared" si="6"/>
        <v xml:space="preserve">    Nbd2</v>
      </c>
      <c r="D77" s="8" t="s">
        <v>247</v>
      </c>
      <c r="E77" s="9" t="s">
        <v>248</v>
      </c>
      <c r="F77" s="10"/>
      <c r="G77" s="10"/>
      <c r="H77" s="7">
        <v>74</v>
      </c>
      <c r="I77" s="11" t="b">
        <f>TRUE()</f>
        <v>1</v>
      </c>
      <c r="J77" s="12">
        <v>6.5610000000000002E-2</v>
      </c>
      <c r="K77" s="12">
        <v>8.8999999999999995E-4</v>
      </c>
      <c r="L77" s="13">
        <v>8.8999999999999995E-4</v>
      </c>
      <c r="M77" s="14"/>
      <c r="N77" s="14"/>
      <c r="O77" s="14"/>
      <c r="P77" s="14"/>
      <c r="Q77" s="14"/>
      <c r="R77" s="14"/>
      <c r="S77" s="14"/>
      <c r="T77" s="15">
        <f t="shared" si="7"/>
        <v>8.8999999999999995E-4</v>
      </c>
      <c r="U77" s="14"/>
      <c r="V77" s="15" t="str">
        <f t="shared" si="8"/>
        <v/>
      </c>
      <c r="W77" s="16"/>
      <c r="X77" s="17" t="s">
        <v>249</v>
      </c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spans="1:34" ht="15" customHeight="1">
      <c r="A78" s="6">
        <v>78</v>
      </c>
      <c r="B78" s="7">
        <v>3</v>
      </c>
      <c r="C78" s="6" t="str">
        <f t="shared" si="6"/>
        <v xml:space="preserve">   h3</v>
      </c>
      <c r="D78" s="8" t="s">
        <v>250</v>
      </c>
      <c r="E78" s="9" t="s">
        <v>251</v>
      </c>
      <c r="F78" s="10"/>
      <c r="G78" s="10"/>
      <c r="H78" s="7">
        <v>70</v>
      </c>
      <c r="I78" s="11" t="b">
        <f>FALSE()</f>
        <v>0</v>
      </c>
      <c r="J78" s="12">
        <v>0.19463</v>
      </c>
      <c r="K78" s="12">
        <v>1.142E-2</v>
      </c>
      <c r="L78" s="13">
        <v>1.142E-2</v>
      </c>
      <c r="M78" s="14"/>
      <c r="N78" s="14"/>
      <c r="O78" s="14"/>
      <c r="P78" s="14"/>
      <c r="Q78" s="14"/>
      <c r="R78" s="14"/>
      <c r="S78" s="14"/>
      <c r="T78" s="15">
        <f t="shared" si="7"/>
        <v>1.142E-2</v>
      </c>
      <c r="U78" s="14"/>
      <c r="V78" s="15" t="str">
        <f t="shared" si="8"/>
        <v/>
      </c>
      <c r="W78" s="16"/>
      <c r="X78" s="17" t="s">
        <v>252</v>
      </c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spans="1:34" ht="15" customHeight="1">
      <c r="A79" s="6">
        <v>79</v>
      </c>
      <c r="B79" s="7">
        <v>4</v>
      </c>
      <c r="C79" s="6" t="str">
        <f t="shared" si="6"/>
        <v xml:space="preserve">    e3</v>
      </c>
      <c r="D79" s="8" t="s">
        <v>253</v>
      </c>
      <c r="E79" s="9" t="s">
        <v>254</v>
      </c>
      <c r="F79" s="10"/>
      <c r="G79" s="10"/>
      <c r="H79" s="7">
        <v>78</v>
      </c>
      <c r="I79" s="11" t="b">
        <f>TRUE()</f>
        <v>1</v>
      </c>
      <c r="J79" s="12">
        <v>0.60465000000000002</v>
      </c>
      <c r="K79" s="12">
        <v>6.9100000000000003E-3</v>
      </c>
      <c r="L79" s="13">
        <v>6.9100000000000003E-3</v>
      </c>
      <c r="M79" s="14"/>
      <c r="N79" s="14"/>
      <c r="O79" s="14"/>
      <c r="P79" s="14"/>
      <c r="Q79" s="14"/>
      <c r="R79" s="14"/>
      <c r="S79" s="14"/>
      <c r="T79" s="15">
        <f t="shared" si="7"/>
        <v>6.9100000000000003E-3</v>
      </c>
      <c r="U79" s="14"/>
      <c r="V79" s="15" t="str">
        <f t="shared" si="8"/>
        <v/>
      </c>
      <c r="W79" s="16"/>
      <c r="X79" s="17" t="s">
        <v>255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 spans="1:34" ht="15" customHeight="1">
      <c r="A80" s="6">
        <v>80</v>
      </c>
      <c r="B80" s="7">
        <v>4</v>
      </c>
      <c r="C80" s="6" t="str">
        <f t="shared" si="6"/>
        <v xml:space="preserve">    c3</v>
      </c>
      <c r="D80" s="8" t="s">
        <v>256</v>
      </c>
      <c r="E80" s="9" t="s">
        <v>257</v>
      </c>
      <c r="F80" s="10"/>
      <c r="G80" s="10"/>
      <c r="H80" s="7">
        <v>78</v>
      </c>
      <c r="I80" s="11" t="b">
        <f>TRUE()</f>
        <v>1</v>
      </c>
      <c r="J80" s="12">
        <v>0.24496000000000001</v>
      </c>
      <c r="K80" s="12">
        <v>2.8E-3</v>
      </c>
      <c r="L80" s="13">
        <v>2.8E-3</v>
      </c>
      <c r="M80" s="14"/>
      <c r="N80" s="14"/>
      <c r="O80" s="14"/>
      <c r="P80" s="14"/>
      <c r="Q80" s="14"/>
      <c r="R80" s="14"/>
      <c r="S80" s="14"/>
      <c r="T80" s="15">
        <f t="shared" si="7"/>
        <v>2.8E-3</v>
      </c>
      <c r="U80" s="14"/>
      <c r="V80" s="15" t="str">
        <f t="shared" si="8"/>
        <v/>
      </c>
      <c r="W80" s="16"/>
      <c r="X80" s="17" t="s">
        <v>258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spans="1:34" ht="15" customHeight="1">
      <c r="A81" s="6">
        <v>81</v>
      </c>
      <c r="B81" s="7">
        <v>4</v>
      </c>
      <c r="C81" s="6" t="str">
        <f t="shared" si="6"/>
        <v xml:space="preserve">    dxc5</v>
      </c>
      <c r="D81" s="8" t="s">
        <v>259</v>
      </c>
      <c r="E81" s="9" t="s">
        <v>260</v>
      </c>
      <c r="F81" s="10"/>
      <c r="G81" s="10"/>
      <c r="H81" s="7">
        <v>78</v>
      </c>
      <c r="I81" s="11" t="b">
        <f>TRUE()</f>
        <v>1</v>
      </c>
      <c r="J81" s="12">
        <v>7.5969999999999996E-2</v>
      </c>
      <c r="K81" s="12">
        <v>8.7000000000000001E-4</v>
      </c>
      <c r="L81" s="13">
        <v>8.7000000000000001E-4</v>
      </c>
      <c r="M81" s="14"/>
      <c r="N81" s="14"/>
      <c r="O81" s="14"/>
      <c r="P81" s="14"/>
      <c r="Q81" s="14"/>
      <c r="R81" s="14"/>
      <c r="S81" s="14"/>
      <c r="T81" s="15">
        <f t="shared" si="7"/>
        <v>8.7000000000000001E-4</v>
      </c>
      <c r="U81" s="14"/>
      <c r="V81" s="15" t="str">
        <f t="shared" si="8"/>
        <v/>
      </c>
      <c r="W81" s="16"/>
      <c r="X81" s="17" t="s">
        <v>261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spans="1:34" ht="15" customHeight="1">
      <c r="A82" s="6">
        <v>82</v>
      </c>
      <c r="B82" s="7">
        <v>4</v>
      </c>
      <c r="C82" s="6" t="str">
        <f t="shared" si="6"/>
        <v xml:space="preserve">    Nf3</v>
      </c>
      <c r="D82" s="8" t="s">
        <v>262</v>
      </c>
      <c r="E82" s="9" t="s">
        <v>263</v>
      </c>
      <c r="F82" s="10"/>
      <c r="G82" s="10"/>
      <c r="H82" s="7">
        <v>78</v>
      </c>
      <c r="I82" s="11" t="b">
        <f>TRUE()</f>
        <v>1</v>
      </c>
      <c r="J82" s="12">
        <v>7.442E-2</v>
      </c>
      <c r="K82" s="12">
        <v>8.4999999999999995E-4</v>
      </c>
      <c r="L82" s="13">
        <v>8.4999999999999995E-4</v>
      </c>
      <c r="M82" s="14"/>
      <c r="N82" s="14"/>
      <c r="O82" s="14"/>
      <c r="P82" s="14"/>
      <c r="Q82" s="14"/>
      <c r="R82" s="14"/>
      <c r="S82" s="14"/>
      <c r="T82" s="15">
        <f t="shared" si="7"/>
        <v>8.4999999999999995E-4</v>
      </c>
      <c r="U82" s="14"/>
      <c r="V82" s="15" t="str">
        <f t="shared" si="8"/>
        <v/>
      </c>
      <c r="W82" s="16"/>
      <c r="X82" s="17" t="s">
        <v>264</v>
      </c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spans="1:34" ht="15" customHeight="1">
      <c r="A83" s="6">
        <v>83</v>
      </c>
      <c r="B83" s="7">
        <v>3</v>
      </c>
      <c r="C83" s="6" t="str">
        <f t="shared" si="6"/>
        <v xml:space="preserve">   h4</v>
      </c>
      <c r="D83" s="8" t="s">
        <v>265</v>
      </c>
      <c r="E83" s="9" t="s">
        <v>266</v>
      </c>
      <c r="F83" s="10"/>
      <c r="G83" s="10"/>
      <c r="H83" s="7">
        <v>70</v>
      </c>
      <c r="I83" s="11" t="b">
        <f>FALSE()</f>
        <v>0</v>
      </c>
      <c r="J83" s="12">
        <v>0.10553</v>
      </c>
      <c r="K83" s="12">
        <v>6.1900000000000002E-3</v>
      </c>
      <c r="L83" s="13">
        <v>6.1900000000000002E-3</v>
      </c>
      <c r="M83" s="14"/>
      <c r="N83" s="14"/>
      <c r="O83" s="14"/>
      <c r="P83" s="14"/>
      <c r="Q83" s="14"/>
      <c r="R83" s="14"/>
      <c r="S83" s="14"/>
      <c r="T83" s="15">
        <f t="shared" si="7"/>
        <v>6.1900000000000002E-3</v>
      </c>
      <c r="U83" s="14"/>
      <c r="V83" s="15" t="str">
        <f t="shared" si="8"/>
        <v/>
      </c>
      <c r="W83" s="16"/>
      <c r="X83" s="17" t="s">
        <v>267</v>
      </c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spans="1:34" ht="15" customHeight="1">
      <c r="A84" s="6">
        <v>84</v>
      </c>
      <c r="B84" s="7">
        <v>4</v>
      </c>
      <c r="C84" s="6" t="str">
        <f t="shared" si="6"/>
        <v xml:space="preserve">    e3</v>
      </c>
      <c r="D84" s="8" t="s">
        <v>268</v>
      </c>
      <c r="E84" s="9" t="s">
        <v>269</v>
      </c>
      <c r="F84" s="10"/>
      <c r="G84" s="10"/>
      <c r="H84" s="7">
        <v>83</v>
      </c>
      <c r="I84" s="11" t="b">
        <f>TRUE()</f>
        <v>1</v>
      </c>
      <c r="J84" s="12">
        <v>0.63324999999999998</v>
      </c>
      <c r="K84" s="12">
        <v>3.9199999999999999E-3</v>
      </c>
      <c r="L84" s="13">
        <v>3.9199999999999999E-3</v>
      </c>
      <c r="M84" s="14"/>
      <c r="N84" s="14"/>
      <c r="O84" s="14"/>
      <c r="P84" s="14"/>
      <c r="Q84" s="14"/>
      <c r="R84" s="14"/>
      <c r="S84" s="14"/>
      <c r="T84" s="15">
        <f t="shared" si="7"/>
        <v>3.9199999999999999E-3</v>
      </c>
      <c r="U84" s="14"/>
      <c r="V84" s="15" t="str">
        <f t="shared" si="8"/>
        <v/>
      </c>
      <c r="W84" s="16"/>
      <c r="X84" s="17" t="s">
        <v>270</v>
      </c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spans="1:34" ht="15" customHeight="1">
      <c r="A85" s="6">
        <v>85</v>
      </c>
      <c r="B85" s="7">
        <v>4</v>
      </c>
      <c r="C85" s="6" t="str">
        <f t="shared" si="6"/>
        <v xml:space="preserve">    c3</v>
      </c>
      <c r="D85" s="8" t="s">
        <v>271</v>
      </c>
      <c r="E85" s="9" t="s">
        <v>272</v>
      </c>
      <c r="F85" s="10"/>
      <c r="G85" s="10"/>
      <c r="H85" s="7">
        <v>83</v>
      </c>
      <c r="I85" s="11" t="b">
        <f>TRUE()</f>
        <v>1</v>
      </c>
      <c r="J85" s="12">
        <v>0.22162999999999999</v>
      </c>
      <c r="K85" s="12">
        <v>1.3699999999999999E-3</v>
      </c>
      <c r="L85" s="13">
        <v>1.3699999999999999E-3</v>
      </c>
      <c r="M85" s="14"/>
      <c r="N85" s="14"/>
      <c r="O85" s="14"/>
      <c r="P85" s="14"/>
      <c r="Q85" s="14"/>
      <c r="R85" s="14"/>
      <c r="S85" s="14"/>
      <c r="T85" s="15">
        <f t="shared" si="7"/>
        <v>1.3699999999999999E-3</v>
      </c>
      <c r="U85" s="14"/>
      <c r="V85" s="15" t="str">
        <f t="shared" si="8"/>
        <v/>
      </c>
      <c r="W85" s="16"/>
      <c r="X85" s="17" t="s">
        <v>273</v>
      </c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spans="1:34" ht="15" customHeight="1">
      <c r="A86" s="6">
        <v>86</v>
      </c>
      <c r="B86" s="7">
        <v>4</v>
      </c>
      <c r="C86" s="6" t="str">
        <f t="shared" si="6"/>
        <v xml:space="preserve">    dxc5</v>
      </c>
      <c r="D86" s="8" t="s">
        <v>274</v>
      </c>
      <c r="E86" s="9" t="s">
        <v>275</v>
      </c>
      <c r="F86" s="10"/>
      <c r="G86" s="10"/>
      <c r="H86" s="7">
        <v>83</v>
      </c>
      <c r="I86" s="11" t="b">
        <f>TRUE()</f>
        <v>1</v>
      </c>
      <c r="J86" s="12">
        <v>7.3880000000000001E-2</v>
      </c>
      <c r="K86" s="12">
        <v>4.6000000000000001E-4</v>
      </c>
      <c r="L86" s="13">
        <v>4.6000000000000001E-4</v>
      </c>
      <c r="M86" s="14"/>
      <c r="N86" s="14"/>
      <c r="O86" s="14"/>
      <c r="P86" s="14"/>
      <c r="Q86" s="14"/>
      <c r="R86" s="14"/>
      <c r="S86" s="14"/>
      <c r="T86" s="15">
        <f t="shared" si="7"/>
        <v>4.6000000000000001E-4</v>
      </c>
      <c r="U86" s="14"/>
      <c r="V86" s="15" t="str">
        <f t="shared" si="8"/>
        <v/>
      </c>
      <c r="W86" s="16"/>
      <c r="X86" s="17" t="s">
        <v>276</v>
      </c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spans="1:34" ht="15" customHeight="1">
      <c r="A87" s="6">
        <v>87</v>
      </c>
      <c r="B87" s="7">
        <v>4</v>
      </c>
      <c r="C87" s="6" t="str">
        <f t="shared" si="6"/>
        <v xml:space="preserve">    Nf3</v>
      </c>
      <c r="D87" s="8" t="s">
        <v>277</v>
      </c>
      <c r="E87" s="9" t="s">
        <v>278</v>
      </c>
      <c r="F87" s="10"/>
      <c r="G87" s="10"/>
      <c r="H87" s="7">
        <v>83</v>
      </c>
      <c r="I87" s="11" t="b">
        <f>TRUE()</f>
        <v>1</v>
      </c>
      <c r="J87" s="12">
        <v>7.1239999999999998E-2</v>
      </c>
      <c r="K87" s="12">
        <v>4.4000000000000002E-4</v>
      </c>
      <c r="L87" s="13">
        <v>4.4000000000000002E-4</v>
      </c>
      <c r="M87" s="14"/>
      <c r="N87" s="14"/>
      <c r="O87" s="14"/>
      <c r="P87" s="14"/>
      <c r="Q87" s="14"/>
      <c r="R87" s="14"/>
      <c r="S87" s="14"/>
      <c r="T87" s="15">
        <f t="shared" si="7"/>
        <v>4.4000000000000002E-4</v>
      </c>
      <c r="U87" s="14"/>
      <c r="V87" s="15" t="str">
        <f t="shared" si="8"/>
        <v/>
      </c>
      <c r="W87" s="16"/>
      <c r="X87" s="17" t="s">
        <v>279</v>
      </c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spans="1:34" ht="15" customHeight="1">
      <c r="A88" s="6">
        <v>88</v>
      </c>
      <c r="B88" s="7">
        <v>3</v>
      </c>
      <c r="C88" s="6" t="str">
        <f t="shared" si="6"/>
        <v xml:space="preserve">   Nc3</v>
      </c>
      <c r="D88" s="8" t="s">
        <v>280</v>
      </c>
      <c r="E88" s="9" t="s">
        <v>281</v>
      </c>
      <c r="F88" s="10"/>
      <c r="G88" s="10"/>
      <c r="H88" s="7">
        <v>70</v>
      </c>
      <c r="I88" s="11" t="b">
        <f>FALSE()</f>
        <v>0</v>
      </c>
      <c r="J88" s="12">
        <v>6.157E-2</v>
      </c>
      <c r="K88" s="12">
        <v>3.6099999999999999E-3</v>
      </c>
      <c r="L88" s="13">
        <v>3.6099999999999999E-3</v>
      </c>
      <c r="M88" s="14"/>
      <c r="N88" s="14"/>
      <c r="O88" s="14"/>
      <c r="P88" s="14"/>
      <c r="Q88" s="14"/>
      <c r="R88" s="14"/>
      <c r="S88" s="14"/>
      <c r="T88" s="15">
        <f t="shared" si="7"/>
        <v>3.6099999999999999E-3</v>
      </c>
      <c r="U88" s="14"/>
      <c r="V88" s="15" t="str">
        <f t="shared" si="8"/>
        <v/>
      </c>
      <c r="W88" s="16"/>
      <c r="X88" s="17" t="s">
        <v>282</v>
      </c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spans="1:34" ht="15" customHeight="1">
      <c r="A89" s="6">
        <v>89</v>
      </c>
      <c r="B89" s="7">
        <v>4</v>
      </c>
      <c r="C89" s="6" t="str">
        <f t="shared" si="6"/>
        <v xml:space="preserve">    e3</v>
      </c>
      <c r="D89" s="8" t="s">
        <v>283</v>
      </c>
      <c r="E89" s="9" t="s">
        <v>284</v>
      </c>
      <c r="F89" s="10"/>
      <c r="G89" s="10"/>
      <c r="H89" s="7">
        <v>88</v>
      </c>
      <c r="I89" s="11" t="b">
        <f>TRUE()</f>
        <v>1</v>
      </c>
      <c r="J89" s="12">
        <v>0.40603</v>
      </c>
      <c r="K89" s="12">
        <v>1.47E-3</v>
      </c>
      <c r="L89" s="13">
        <v>1.47E-3</v>
      </c>
      <c r="M89" s="14"/>
      <c r="N89" s="14"/>
      <c r="O89" s="14"/>
      <c r="P89" s="14"/>
      <c r="Q89" s="14"/>
      <c r="R89" s="14"/>
      <c r="S89" s="14"/>
      <c r="T89" s="15">
        <f t="shared" si="7"/>
        <v>1.47E-3</v>
      </c>
      <c r="U89" s="14"/>
      <c r="V89" s="15" t="str">
        <f t="shared" si="8"/>
        <v/>
      </c>
      <c r="W89" s="16"/>
      <c r="X89" s="17" t="s">
        <v>285</v>
      </c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spans="1:34" ht="15" customHeight="1">
      <c r="A90" s="6">
        <v>90</v>
      </c>
      <c r="B90" s="7">
        <v>4</v>
      </c>
      <c r="C90" s="6" t="str">
        <f t="shared" si="6"/>
        <v xml:space="preserve">    Nb5</v>
      </c>
      <c r="D90" s="8" t="s">
        <v>286</v>
      </c>
      <c r="E90" s="9" t="s">
        <v>287</v>
      </c>
      <c r="F90" s="10"/>
      <c r="G90" s="10"/>
      <c r="H90" s="7">
        <v>88</v>
      </c>
      <c r="I90" s="11" t="b">
        <f>TRUE()</f>
        <v>1</v>
      </c>
      <c r="J90" s="12">
        <v>0.19503999999999999</v>
      </c>
      <c r="K90" s="12">
        <v>6.9999999999999999E-4</v>
      </c>
      <c r="L90" s="13">
        <v>6.9999999999999999E-4</v>
      </c>
      <c r="M90" s="14"/>
      <c r="N90" s="14"/>
      <c r="O90" s="14"/>
      <c r="P90" s="14"/>
      <c r="Q90" s="14"/>
      <c r="R90" s="14"/>
      <c r="S90" s="14"/>
      <c r="T90" s="15">
        <f t="shared" si="7"/>
        <v>6.9999999999999999E-4</v>
      </c>
      <c r="U90" s="14"/>
      <c r="V90" s="15" t="str">
        <f t="shared" si="8"/>
        <v/>
      </c>
      <c r="W90" s="16"/>
      <c r="X90" s="17" t="s">
        <v>288</v>
      </c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spans="1:34" ht="15" customHeight="1">
      <c r="A91" s="6">
        <v>91</v>
      </c>
      <c r="B91" s="7">
        <v>4</v>
      </c>
      <c r="C91" s="6" t="str">
        <f t="shared" si="6"/>
        <v xml:space="preserve">    Nf3</v>
      </c>
      <c r="D91" s="8" t="s">
        <v>289</v>
      </c>
      <c r="E91" s="9" t="s">
        <v>290</v>
      </c>
      <c r="F91" s="10"/>
      <c r="G91" s="10"/>
      <c r="H91" s="7">
        <v>88</v>
      </c>
      <c r="I91" s="11" t="b">
        <f>TRUE()</f>
        <v>1</v>
      </c>
      <c r="J91" s="12">
        <v>0.16313</v>
      </c>
      <c r="K91" s="12">
        <v>5.9000000000000003E-4</v>
      </c>
      <c r="L91" s="13">
        <v>5.9000000000000003E-4</v>
      </c>
      <c r="M91" s="14"/>
      <c r="N91" s="14"/>
      <c r="O91" s="14"/>
      <c r="P91" s="14"/>
      <c r="Q91" s="14"/>
      <c r="R91" s="14"/>
      <c r="S91" s="14"/>
      <c r="T91" s="15">
        <f t="shared" si="7"/>
        <v>5.9000000000000003E-4</v>
      </c>
      <c r="U91" s="14"/>
      <c r="V91" s="15" t="str">
        <f t="shared" si="8"/>
        <v/>
      </c>
      <c r="W91" s="16"/>
      <c r="X91" s="17" t="s">
        <v>291</v>
      </c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spans="1:34" ht="15" customHeight="1">
      <c r="A92" s="6">
        <v>92</v>
      </c>
      <c r="B92" s="7">
        <v>4</v>
      </c>
      <c r="C92" s="6" t="str">
        <f t="shared" si="6"/>
        <v xml:space="preserve">    h3</v>
      </c>
      <c r="D92" s="8" t="s">
        <v>292</v>
      </c>
      <c r="E92" s="9" t="s">
        <v>293</v>
      </c>
      <c r="F92" s="10"/>
      <c r="G92" s="10"/>
      <c r="H92" s="7">
        <v>88</v>
      </c>
      <c r="I92" s="11" t="b">
        <f>TRUE()</f>
        <v>1</v>
      </c>
      <c r="J92" s="12">
        <v>0.13120000000000001</v>
      </c>
      <c r="K92" s="12">
        <v>4.6999999999999999E-4</v>
      </c>
      <c r="L92" s="13">
        <v>4.6999999999999999E-4</v>
      </c>
      <c r="M92" s="14"/>
      <c r="N92" s="14"/>
      <c r="O92" s="14"/>
      <c r="P92" s="14"/>
      <c r="Q92" s="14"/>
      <c r="R92" s="14"/>
      <c r="S92" s="14"/>
      <c r="T92" s="15">
        <f t="shared" si="7"/>
        <v>4.6999999999999999E-4</v>
      </c>
      <c r="U92" s="14"/>
      <c r="V92" s="15" t="str">
        <f t="shared" si="8"/>
        <v/>
      </c>
      <c r="W92" s="16"/>
      <c r="X92" s="17" t="s">
        <v>294</v>
      </c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spans="1:34" ht="15" customHeight="1">
      <c r="A93" s="6">
        <v>93</v>
      </c>
      <c r="B93" s="7">
        <v>4</v>
      </c>
      <c r="C93" s="6" t="str">
        <f t="shared" si="6"/>
        <v xml:space="preserve">    f3</v>
      </c>
      <c r="D93" s="8" t="s">
        <v>295</v>
      </c>
      <c r="E93" s="9" t="s">
        <v>296</v>
      </c>
      <c r="F93" s="10"/>
      <c r="G93" s="10"/>
      <c r="H93" s="7">
        <v>88</v>
      </c>
      <c r="I93" s="11" t="b">
        <f>TRUE()</f>
        <v>1</v>
      </c>
      <c r="J93" s="12">
        <v>0.10460999999999999</v>
      </c>
      <c r="K93" s="12">
        <v>3.8000000000000002E-4</v>
      </c>
      <c r="L93" s="13">
        <v>3.8000000000000002E-4</v>
      </c>
      <c r="M93" s="14"/>
      <c r="N93" s="14"/>
      <c r="O93" s="14"/>
      <c r="P93" s="14"/>
      <c r="Q93" s="14"/>
      <c r="R93" s="14"/>
      <c r="S93" s="14"/>
      <c r="T93" s="15">
        <f t="shared" si="7"/>
        <v>3.8000000000000002E-4</v>
      </c>
      <c r="U93" s="14"/>
      <c r="V93" s="15" t="str">
        <f t="shared" si="8"/>
        <v/>
      </c>
      <c r="W93" s="16"/>
      <c r="X93" s="17" t="s">
        <v>297</v>
      </c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spans="1:34" ht="15" customHeight="1">
      <c r="A94" s="6">
        <v>94</v>
      </c>
      <c r="B94" s="7">
        <v>2</v>
      </c>
      <c r="C94" s="6" t="str">
        <f t="shared" si="6"/>
        <v xml:space="preserve">  Nf3</v>
      </c>
      <c r="D94" s="8" t="s">
        <v>298</v>
      </c>
      <c r="E94" s="9" t="s">
        <v>299</v>
      </c>
      <c r="F94" s="10"/>
      <c r="G94" s="10"/>
      <c r="H94" s="7">
        <v>52</v>
      </c>
      <c r="I94" s="11" t="b">
        <f>FALSE()</f>
        <v>0</v>
      </c>
      <c r="J94" s="12">
        <v>0.16927</v>
      </c>
      <c r="K94" s="12">
        <v>4.691E-2</v>
      </c>
      <c r="L94" s="13">
        <v>4.691E-2</v>
      </c>
      <c r="M94" s="14"/>
      <c r="N94" s="14"/>
      <c r="O94" s="14"/>
      <c r="P94" s="14"/>
      <c r="Q94" s="14"/>
      <c r="R94" s="14"/>
      <c r="S94" s="14"/>
      <c r="T94" s="15">
        <f t="shared" si="7"/>
        <v>4.691E-2</v>
      </c>
      <c r="U94" s="14"/>
      <c r="V94" s="15" t="str">
        <f t="shared" si="8"/>
        <v/>
      </c>
      <c r="W94" s="16"/>
      <c r="X94" s="17" t="s">
        <v>300</v>
      </c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spans="1:34" ht="15" customHeight="1">
      <c r="A95" s="6">
        <v>95</v>
      </c>
      <c r="B95" s="7">
        <v>3</v>
      </c>
      <c r="C95" s="6" t="str">
        <f t="shared" si="6"/>
        <v xml:space="preserve">   Bf4</v>
      </c>
      <c r="D95" s="8" t="s">
        <v>301</v>
      </c>
      <c r="E95" s="9" t="s">
        <v>302</v>
      </c>
      <c r="F95" s="10"/>
      <c r="G95" s="10"/>
      <c r="H95" s="7">
        <v>94</v>
      </c>
      <c r="I95" s="11" t="b">
        <f>FALSE()</f>
        <v>0</v>
      </c>
      <c r="J95" s="12">
        <v>0.30547999999999997</v>
      </c>
      <c r="K95" s="12">
        <v>1.4330000000000001E-2</v>
      </c>
      <c r="L95" s="13">
        <v>1.4330000000000001E-2</v>
      </c>
      <c r="M95" s="14"/>
      <c r="N95" s="14"/>
      <c r="O95" s="14"/>
      <c r="P95" s="14"/>
      <c r="Q95" s="14"/>
      <c r="R95" s="14"/>
      <c r="S95" s="14"/>
      <c r="T95" s="15">
        <f t="shared" si="7"/>
        <v>1.4330000000000001E-2</v>
      </c>
      <c r="U95" s="14"/>
      <c r="V95" s="15" t="str">
        <f t="shared" si="8"/>
        <v/>
      </c>
      <c r="W95" s="16"/>
      <c r="X95" s="17" t="s">
        <v>303</v>
      </c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spans="1:34" ht="15" customHeight="1">
      <c r="A96" s="6">
        <v>96</v>
      </c>
      <c r="B96" s="7">
        <v>4</v>
      </c>
      <c r="C96" s="6" t="str">
        <f t="shared" si="6"/>
        <v xml:space="preserve">    e3</v>
      </c>
      <c r="D96" s="8" t="s">
        <v>304</v>
      </c>
      <c r="E96" s="9" t="s">
        <v>305</v>
      </c>
      <c r="F96" s="10"/>
      <c r="G96" s="10"/>
      <c r="H96" s="7">
        <v>95</v>
      </c>
      <c r="I96" s="11" t="b">
        <f>TRUE()</f>
        <v>1</v>
      </c>
      <c r="J96" s="12">
        <v>0.61951000000000001</v>
      </c>
      <c r="K96" s="12">
        <v>8.8800000000000007E-3</v>
      </c>
      <c r="L96" s="13">
        <v>8.8800000000000007E-3</v>
      </c>
      <c r="M96" s="14"/>
      <c r="N96" s="14"/>
      <c r="O96" s="14"/>
      <c r="P96" s="14"/>
      <c r="Q96" s="14"/>
      <c r="R96" s="14"/>
      <c r="S96" s="14"/>
      <c r="T96" s="15">
        <f t="shared" si="7"/>
        <v>8.8800000000000007E-3</v>
      </c>
      <c r="U96" s="14"/>
      <c r="V96" s="15" t="str">
        <f t="shared" si="8"/>
        <v/>
      </c>
      <c r="W96" s="16"/>
      <c r="X96" s="17" t="s">
        <v>306</v>
      </c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spans="1:34" ht="15" customHeight="1">
      <c r="A97" s="6">
        <v>97</v>
      </c>
      <c r="B97" s="7">
        <v>4</v>
      </c>
      <c r="C97" s="6" t="str">
        <f t="shared" si="6"/>
        <v xml:space="preserve">    Nbd2</v>
      </c>
      <c r="D97" s="8" t="s">
        <v>307</v>
      </c>
      <c r="E97" s="9" t="s">
        <v>308</v>
      </c>
      <c r="F97" s="10"/>
      <c r="G97" s="10"/>
      <c r="H97" s="7">
        <v>95</v>
      </c>
      <c r="I97" s="11" t="b">
        <f>TRUE()</f>
        <v>1</v>
      </c>
      <c r="J97" s="12">
        <v>0.21515999999999999</v>
      </c>
      <c r="K97" s="12">
        <v>3.0799999999999998E-3</v>
      </c>
      <c r="L97" s="13">
        <v>3.0799999999999998E-3</v>
      </c>
      <c r="M97" s="14"/>
      <c r="N97" s="14"/>
      <c r="O97" s="14"/>
      <c r="P97" s="14"/>
      <c r="Q97" s="14"/>
      <c r="R97" s="14"/>
      <c r="S97" s="14"/>
      <c r="T97" s="15">
        <f t="shared" si="7"/>
        <v>3.0799999999999998E-3</v>
      </c>
      <c r="U97" s="14"/>
      <c r="V97" s="15" t="str">
        <f t="shared" si="8"/>
        <v/>
      </c>
      <c r="W97" s="16"/>
      <c r="X97" s="17" t="s">
        <v>309</v>
      </c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spans="1:34" ht="15" customHeight="1">
      <c r="A98" s="6">
        <v>98</v>
      </c>
      <c r="B98" s="7">
        <v>4</v>
      </c>
      <c r="C98" s="6" t="str">
        <f t="shared" ref="C98:C129" si="9">REPT(" ",B98)&amp;TRIM(RIGHT(SUBSTITUTE(D98," ",REPT(" ",99)),99))</f>
        <v xml:space="preserve">    Ne5</v>
      </c>
      <c r="D98" s="8" t="s">
        <v>310</v>
      </c>
      <c r="E98" s="9" t="s">
        <v>311</v>
      </c>
      <c r="F98" s="10"/>
      <c r="G98" s="10"/>
      <c r="H98" s="7">
        <v>95</v>
      </c>
      <c r="I98" s="11" t="b">
        <f>TRUE()</f>
        <v>1</v>
      </c>
      <c r="J98" s="12">
        <v>9.2329999999999995E-2</v>
      </c>
      <c r="K98" s="12">
        <v>1.32E-3</v>
      </c>
      <c r="L98" s="13">
        <v>1.32E-3</v>
      </c>
      <c r="M98" s="14"/>
      <c r="N98" s="14"/>
      <c r="O98" s="14"/>
      <c r="P98" s="14"/>
      <c r="Q98" s="14"/>
      <c r="R98" s="14"/>
      <c r="S98" s="14"/>
      <c r="T98" s="15">
        <f t="shared" ref="T98:T129" si="10">L98+SUM(M98:S98)</f>
        <v>1.32E-3</v>
      </c>
      <c r="U98" s="14"/>
      <c r="V98" s="15" t="str">
        <f t="shared" ref="V98:V129" si="11">IF(U98="","",T98-U98)</f>
        <v/>
      </c>
      <c r="W98" s="16"/>
      <c r="X98" s="17" t="s">
        <v>312</v>
      </c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spans="1:34" ht="15" customHeight="1">
      <c r="A99" s="6">
        <v>99</v>
      </c>
      <c r="B99" s="7">
        <v>4</v>
      </c>
      <c r="C99" s="6" t="str">
        <f t="shared" si="9"/>
        <v xml:space="preserve">    h3</v>
      </c>
      <c r="D99" s="8" t="s">
        <v>313</v>
      </c>
      <c r="E99" s="9" t="s">
        <v>314</v>
      </c>
      <c r="F99" s="10"/>
      <c r="G99" s="10"/>
      <c r="H99" s="7">
        <v>95</v>
      </c>
      <c r="I99" s="11" t="b">
        <f>TRUE()</f>
        <v>1</v>
      </c>
      <c r="J99" s="12">
        <v>7.2999999999999995E-2</v>
      </c>
      <c r="K99" s="12">
        <v>1.0499999999999999E-3</v>
      </c>
      <c r="L99" s="13">
        <v>1.0499999999999999E-3</v>
      </c>
      <c r="M99" s="14"/>
      <c r="N99" s="14"/>
      <c r="O99" s="14"/>
      <c r="P99" s="14"/>
      <c r="Q99" s="14"/>
      <c r="R99" s="14"/>
      <c r="S99" s="14"/>
      <c r="T99" s="15">
        <f t="shared" si="10"/>
        <v>1.0499999999999999E-3</v>
      </c>
      <c r="U99" s="14"/>
      <c r="V99" s="15" t="str">
        <f t="shared" si="11"/>
        <v/>
      </c>
      <c r="W99" s="16"/>
      <c r="X99" s="17" t="s">
        <v>315</v>
      </c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spans="1:34" ht="15" customHeight="1">
      <c r="A100" s="6">
        <v>100</v>
      </c>
      <c r="B100" s="7">
        <v>3</v>
      </c>
      <c r="C100" s="6" t="str">
        <f t="shared" si="9"/>
        <v xml:space="preserve">   e3</v>
      </c>
      <c r="D100" s="8" t="s">
        <v>316</v>
      </c>
      <c r="E100" s="9" t="s">
        <v>317</v>
      </c>
      <c r="F100" s="10"/>
      <c r="G100" s="10"/>
      <c r="H100" s="7">
        <v>94</v>
      </c>
      <c r="I100" s="11" t="b">
        <f>FALSE()</f>
        <v>0</v>
      </c>
      <c r="J100" s="12">
        <v>0.28794999999999998</v>
      </c>
      <c r="K100" s="12">
        <v>1.3509999999999999E-2</v>
      </c>
      <c r="L100" s="13">
        <v>1.3509999999999999E-2</v>
      </c>
      <c r="M100" s="14"/>
      <c r="N100" s="14"/>
      <c r="O100" s="14"/>
      <c r="P100" s="14"/>
      <c r="Q100" s="14"/>
      <c r="R100" s="14"/>
      <c r="S100" s="14"/>
      <c r="T100" s="15">
        <f t="shared" si="10"/>
        <v>1.3509999999999999E-2</v>
      </c>
      <c r="U100" s="14"/>
      <c r="V100" s="15" t="str">
        <f t="shared" si="11"/>
        <v/>
      </c>
      <c r="W100" s="16"/>
      <c r="X100" s="17" t="s">
        <v>318</v>
      </c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spans="1:34" ht="15" customHeight="1">
      <c r="A101" s="6">
        <v>101</v>
      </c>
      <c r="B101" s="7">
        <v>4</v>
      </c>
      <c r="C101" s="6" t="str">
        <f t="shared" si="9"/>
        <v xml:space="preserve">    Be2</v>
      </c>
      <c r="D101" s="8" t="s">
        <v>319</v>
      </c>
      <c r="E101" s="9" t="s">
        <v>320</v>
      </c>
      <c r="F101" s="10"/>
      <c r="G101" s="10"/>
      <c r="H101" s="7">
        <v>100</v>
      </c>
      <c r="I101" s="11" t="b">
        <f>TRUE()</f>
        <v>1</v>
      </c>
      <c r="J101" s="12">
        <v>0.35655999999999999</v>
      </c>
      <c r="K101" s="12">
        <v>4.8199999999999996E-3</v>
      </c>
      <c r="L101" s="13">
        <v>4.8199999999999996E-3</v>
      </c>
      <c r="M101" s="14"/>
      <c r="N101" s="14"/>
      <c r="O101" s="14"/>
      <c r="P101" s="14"/>
      <c r="Q101" s="14"/>
      <c r="R101" s="14"/>
      <c r="S101" s="14"/>
      <c r="T101" s="15">
        <f t="shared" si="10"/>
        <v>4.8199999999999996E-3</v>
      </c>
      <c r="U101" s="14"/>
      <c r="V101" s="15" t="str">
        <f t="shared" si="11"/>
        <v/>
      </c>
      <c r="W101" s="16"/>
      <c r="X101" s="17" t="s">
        <v>321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spans="1:34" ht="15" customHeight="1">
      <c r="A102" s="6">
        <v>102</v>
      </c>
      <c r="B102" s="7">
        <v>4</v>
      </c>
      <c r="C102" s="6" t="str">
        <f t="shared" si="9"/>
        <v xml:space="preserve">    c4</v>
      </c>
      <c r="D102" s="8" t="s">
        <v>322</v>
      </c>
      <c r="E102" s="9" t="s">
        <v>323</v>
      </c>
      <c r="F102" s="10"/>
      <c r="G102" s="10"/>
      <c r="H102" s="7">
        <v>100</v>
      </c>
      <c r="I102" s="11" t="b">
        <f>TRUE()</f>
        <v>1</v>
      </c>
      <c r="J102" s="12">
        <v>0.18337999999999999</v>
      </c>
      <c r="K102" s="12">
        <v>2.48E-3</v>
      </c>
      <c r="L102" s="13">
        <v>2.48E-3</v>
      </c>
      <c r="M102" s="14"/>
      <c r="N102" s="14"/>
      <c r="O102" s="14"/>
      <c r="P102" s="14"/>
      <c r="Q102" s="14"/>
      <c r="R102" s="14"/>
      <c r="S102" s="14"/>
      <c r="T102" s="15">
        <f t="shared" si="10"/>
        <v>2.48E-3</v>
      </c>
      <c r="U102" s="14"/>
      <c r="V102" s="15" t="str">
        <f t="shared" si="11"/>
        <v/>
      </c>
      <c r="W102" s="16"/>
      <c r="X102" s="17" t="s">
        <v>324</v>
      </c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 spans="1:34" ht="15" customHeight="1">
      <c r="A103" s="6">
        <v>103</v>
      </c>
      <c r="B103" s="7">
        <v>4</v>
      </c>
      <c r="C103" s="6" t="str">
        <f t="shared" si="9"/>
        <v xml:space="preserve">    Nbd2</v>
      </c>
      <c r="D103" s="8" t="s">
        <v>325</v>
      </c>
      <c r="E103" s="9" t="s">
        <v>326</v>
      </c>
      <c r="F103" s="10"/>
      <c r="G103" s="10"/>
      <c r="H103" s="7">
        <v>100</v>
      </c>
      <c r="I103" s="11" t="b">
        <f>TRUE()</f>
        <v>1</v>
      </c>
      <c r="J103" s="12">
        <v>0.17516000000000001</v>
      </c>
      <c r="K103" s="12">
        <v>2.3700000000000001E-3</v>
      </c>
      <c r="L103" s="13">
        <v>2.3700000000000001E-3</v>
      </c>
      <c r="M103" s="14"/>
      <c r="N103" s="14"/>
      <c r="O103" s="14"/>
      <c r="P103" s="14"/>
      <c r="Q103" s="14"/>
      <c r="R103" s="14"/>
      <c r="S103" s="14"/>
      <c r="T103" s="15">
        <f t="shared" si="10"/>
        <v>2.3700000000000001E-3</v>
      </c>
      <c r="U103" s="14"/>
      <c r="V103" s="15" t="str">
        <f t="shared" si="11"/>
        <v/>
      </c>
      <c r="W103" s="16"/>
      <c r="X103" s="17" t="s">
        <v>327</v>
      </c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spans="1:34" ht="15" customHeight="1">
      <c r="A104" s="6">
        <v>104</v>
      </c>
      <c r="B104" s="7">
        <v>4</v>
      </c>
      <c r="C104" s="6" t="str">
        <f t="shared" si="9"/>
        <v xml:space="preserve">    Bd3</v>
      </c>
      <c r="D104" s="8" t="s">
        <v>328</v>
      </c>
      <c r="E104" s="9" t="s">
        <v>329</v>
      </c>
      <c r="F104" s="10"/>
      <c r="G104" s="10"/>
      <c r="H104" s="7">
        <v>100</v>
      </c>
      <c r="I104" s="11" t="b">
        <f>TRUE()</f>
        <v>1</v>
      </c>
      <c r="J104" s="12">
        <v>0.15104000000000001</v>
      </c>
      <c r="K104" s="12">
        <v>2.0400000000000001E-3</v>
      </c>
      <c r="L104" s="13">
        <v>2.0400000000000001E-3</v>
      </c>
      <c r="M104" s="14"/>
      <c r="N104" s="14"/>
      <c r="O104" s="14"/>
      <c r="P104" s="14"/>
      <c r="Q104" s="14"/>
      <c r="R104" s="14"/>
      <c r="S104" s="14"/>
      <c r="T104" s="15">
        <f t="shared" si="10"/>
        <v>2.0400000000000001E-3</v>
      </c>
      <c r="U104" s="14"/>
      <c r="V104" s="15" t="str">
        <f t="shared" si="11"/>
        <v/>
      </c>
      <c r="W104" s="16"/>
      <c r="X104" s="17" t="s">
        <v>330</v>
      </c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spans="1:34" ht="15" customHeight="1">
      <c r="A105" s="6">
        <v>105</v>
      </c>
      <c r="B105" s="7">
        <v>4</v>
      </c>
      <c r="C105" s="6" t="str">
        <f t="shared" si="9"/>
        <v xml:space="preserve">    h3</v>
      </c>
      <c r="D105" s="8" t="s">
        <v>331</v>
      </c>
      <c r="E105" s="9" t="s">
        <v>332</v>
      </c>
      <c r="F105" s="10"/>
      <c r="G105" s="10"/>
      <c r="H105" s="7">
        <v>100</v>
      </c>
      <c r="I105" s="11" t="b">
        <f>TRUE()</f>
        <v>1</v>
      </c>
      <c r="J105" s="12">
        <v>0.13386000000000001</v>
      </c>
      <c r="K105" s="12">
        <v>1.81E-3</v>
      </c>
      <c r="L105" s="13">
        <v>1.81E-3</v>
      </c>
      <c r="M105" s="14"/>
      <c r="N105" s="14"/>
      <c r="O105" s="14"/>
      <c r="P105" s="14"/>
      <c r="Q105" s="14"/>
      <c r="R105" s="14"/>
      <c r="S105" s="14"/>
      <c r="T105" s="15">
        <f t="shared" si="10"/>
        <v>1.81E-3</v>
      </c>
      <c r="U105" s="14"/>
      <c r="V105" s="15" t="str">
        <f t="shared" si="11"/>
        <v/>
      </c>
      <c r="W105" s="16"/>
      <c r="X105" s="17" t="s">
        <v>333</v>
      </c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 spans="1:34" ht="15" customHeight="1">
      <c r="A106" s="6">
        <v>106</v>
      </c>
      <c r="B106" s="7">
        <v>3</v>
      </c>
      <c r="C106" s="6" t="str">
        <f t="shared" si="9"/>
        <v xml:space="preserve">   c4</v>
      </c>
      <c r="D106" s="8" t="s">
        <v>334</v>
      </c>
      <c r="E106" s="9" t="s">
        <v>335</v>
      </c>
      <c r="F106" s="10"/>
      <c r="G106" s="10"/>
      <c r="H106" s="7">
        <v>94</v>
      </c>
      <c r="I106" s="11" t="b">
        <f>FALSE()</f>
        <v>0</v>
      </c>
      <c r="J106" s="12">
        <v>0.20498</v>
      </c>
      <c r="K106" s="12">
        <v>9.6200000000000001E-3</v>
      </c>
      <c r="L106" s="13">
        <v>9.6200000000000001E-3</v>
      </c>
      <c r="M106" s="14"/>
      <c r="N106" s="14"/>
      <c r="O106" s="14"/>
      <c r="P106" s="14"/>
      <c r="Q106" s="14"/>
      <c r="R106" s="14"/>
      <c r="S106" s="14"/>
      <c r="T106" s="15">
        <f t="shared" si="10"/>
        <v>9.6200000000000001E-3</v>
      </c>
      <c r="U106" s="14"/>
      <c r="V106" s="15" t="str">
        <f t="shared" si="11"/>
        <v/>
      </c>
      <c r="W106" s="16"/>
      <c r="X106" s="17" t="s">
        <v>336</v>
      </c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spans="1:34" ht="15" customHeight="1">
      <c r="A107" s="6">
        <v>107</v>
      </c>
      <c r="B107" s="7">
        <v>4</v>
      </c>
      <c r="C107" s="6" t="str">
        <f t="shared" si="9"/>
        <v xml:space="preserve">    Nc3</v>
      </c>
      <c r="D107" s="8" t="s">
        <v>337</v>
      </c>
      <c r="E107" s="9" t="s">
        <v>338</v>
      </c>
      <c r="F107" s="10"/>
      <c r="G107" s="10"/>
      <c r="H107" s="7">
        <v>106</v>
      </c>
      <c r="I107" s="11" t="b">
        <f>TRUE()</f>
        <v>1</v>
      </c>
      <c r="J107" s="12">
        <v>0.39167000000000002</v>
      </c>
      <c r="K107" s="12">
        <v>3.7699999999999999E-3</v>
      </c>
      <c r="L107" s="13">
        <v>3.7699999999999999E-3</v>
      </c>
      <c r="M107" s="14"/>
      <c r="N107" s="14"/>
      <c r="O107" s="14"/>
      <c r="P107" s="14"/>
      <c r="Q107" s="14"/>
      <c r="R107" s="14"/>
      <c r="S107" s="14"/>
      <c r="T107" s="15">
        <f t="shared" si="10"/>
        <v>3.7699999999999999E-3</v>
      </c>
      <c r="U107" s="14"/>
      <c r="V107" s="15" t="str">
        <f t="shared" si="11"/>
        <v/>
      </c>
      <c r="W107" s="16"/>
      <c r="X107" s="17" t="s">
        <v>339</v>
      </c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spans="1:34" ht="15" customHeight="1">
      <c r="A108" s="6">
        <v>108</v>
      </c>
      <c r="B108" s="7">
        <v>4</v>
      </c>
      <c r="C108" s="6" t="str">
        <f t="shared" si="9"/>
        <v xml:space="preserve">    e3</v>
      </c>
      <c r="D108" s="8" t="s">
        <v>340</v>
      </c>
      <c r="E108" s="9" t="s">
        <v>341</v>
      </c>
      <c r="F108" s="10"/>
      <c r="G108" s="10"/>
      <c r="H108" s="7">
        <v>106</v>
      </c>
      <c r="I108" s="11" t="b">
        <f>TRUE()</f>
        <v>1</v>
      </c>
      <c r="J108" s="12">
        <v>0.18265000000000001</v>
      </c>
      <c r="K108" s="12">
        <v>1.7600000000000001E-3</v>
      </c>
      <c r="L108" s="13">
        <v>1.7600000000000001E-3</v>
      </c>
      <c r="M108" s="14"/>
      <c r="N108" s="14"/>
      <c r="O108" s="14"/>
      <c r="P108" s="14"/>
      <c r="Q108" s="14"/>
      <c r="R108" s="14"/>
      <c r="S108" s="14"/>
      <c r="T108" s="15">
        <f t="shared" si="10"/>
        <v>1.7600000000000001E-3</v>
      </c>
      <c r="U108" s="14"/>
      <c r="V108" s="15" t="str">
        <f t="shared" si="11"/>
        <v/>
      </c>
      <c r="W108" s="16"/>
      <c r="X108" s="17" t="s">
        <v>342</v>
      </c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spans="1:34" ht="15" customHeight="1">
      <c r="A109" s="6">
        <v>109</v>
      </c>
      <c r="B109" s="7">
        <v>4</v>
      </c>
      <c r="C109" s="6" t="str">
        <f t="shared" si="9"/>
        <v xml:space="preserve">    cxd5</v>
      </c>
      <c r="D109" s="8" t="s">
        <v>343</v>
      </c>
      <c r="E109" s="9" t="s">
        <v>344</v>
      </c>
      <c r="F109" s="10"/>
      <c r="G109" s="10"/>
      <c r="H109" s="7">
        <v>106</v>
      </c>
      <c r="I109" s="11" t="b">
        <f>TRUE()</f>
        <v>1</v>
      </c>
      <c r="J109" s="12">
        <v>0.16597999999999999</v>
      </c>
      <c r="K109" s="12">
        <v>1.6000000000000001E-3</v>
      </c>
      <c r="L109" s="13">
        <v>1.6000000000000001E-3</v>
      </c>
      <c r="M109" s="14"/>
      <c r="N109" s="14"/>
      <c r="O109" s="14"/>
      <c r="P109" s="14"/>
      <c r="Q109" s="14"/>
      <c r="R109" s="14"/>
      <c r="S109" s="14"/>
      <c r="T109" s="15">
        <f t="shared" si="10"/>
        <v>1.6000000000000001E-3</v>
      </c>
      <c r="U109" s="14"/>
      <c r="V109" s="15" t="str">
        <f t="shared" si="11"/>
        <v/>
      </c>
      <c r="W109" s="16"/>
      <c r="X109" s="17" t="s">
        <v>345</v>
      </c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spans="1:34" ht="15" customHeight="1">
      <c r="A110" s="6">
        <v>110</v>
      </c>
      <c r="B110" s="7">
        <v>4</v>
      </c>
      <c r="C110" s="6" t="str">
        <f t="shared" si="9"/>
        <v xml:space="preserve">    g3</v>
      </c>
      <c r="D110" s="8" t="s">
        <v>346</v>
      </c>
      <c r="E110" s="9" t="s">
        <v>347</v>
      </c>
      <c r="F110" s="10"/>
      <c r="G110" s="10"/>
      <c r="H110" s="7">
        <v>106</v>
      </c>
      <c r="I110" s="11" t="b">
        <f>TRUE()</f>
        <v>1</v>
      </c>
      <c r="J110" s="12">
        <v>0.10884000000000001</v>
      </c>
      <c r="K110" s="12">
        <v>1.0499999999999999E-3</v>
      </c>
      <c r="L110" s="13">
        <v>1.0499999999999999E-3</v>
      </c>
      <c r="M110" s="14"/>
      <c r="N110" s="14"/>
      <c r="O110" s="14"/>
      <c r="P110" s="14"/>
      <c r="Q110" s="14"/>
      <c r="R110" s="14"/>
      <c r="S110" s="14"/>
      <c r="T110" s="15">
        <f t="shared" si="10"/>
        <v>1.0499999999999999E-3</v>
      </c>
      <c r="U110" s="14"/>
      <c r="V110" s="15" t="str">
        <f t="shared" si="11"/>
        <v/>
      </c>
      <c r="W110" s="16"/>
      <c r="X110" s="17" t="s">
        <v>348</v>
      </c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spans="1:34" ht="15" customHeight="1">
      <c r="A111" s="6">
        <v>111</v>
      </c>
      <c r="B111" s="7">
        <v>4</v>
      </c>
      <c r="C111" s="6" t="str">
        <f t="shared" si="9"/>
        <v xml:space="preserve">    Bf4</v>
      </c>
      <c r="D111" s="8" t="s">
        <v>349</v>
      </c>
      <c r="E111" s="9" t="s">
        <v>350</v>
      </c>
      <c r="F111" s="10"/>
      <c r="G111" s="10"/>
      <c r="H111" s="7">
        <v>106</v>
      </c>
      <c r="I111" s="11" t="b">
        <f>TRUE()</f>
        <v>1</v>
      </c>
      <c r="J111" s="12">
        <v>7.7630000000000005E-2</v>
      </c>
      <c r="K111" s="12">
        <v>7.5000000000000002E-4</v>
      </c>
      <c r="L111" s="13">
        <v>7.5000000000000002E-4</v>
      </c>
      <c r="M111" s="14"/>
      <c r="N111" s="14"/>
      <c r="O111" s="14"/>
      <c r="P111" s="14"/>
      <c r="Q111" s="14"/>
      <c r="R111" s="14"/>
      <c r="S111" s="14"/>
      <c r="T111" s="15">
        <f t="shared" si="10"/>
        <v>7.5000000000000002E-4</v>
      </c>
      <c r="U111" s="14"/>
      <c r="V111" s="15" t="str">
        <f t="shared" si="11"/>
        <v/>
      </c>
      <c r="W111" s="16"/>
      <c r="X111" s="17" t="s">
        <v>351</v>
      </c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spans="1:34" ht="15" customHeight="1">
      <c r="A112" s="6">
        <v>112</v>
      </c>
      <c r="B112" s="7">
        <v>4</v>
      </c>
      <c r="C112" s="6" t="str">
        <f t="shared" si="9"/>
        <v xml:space="preserve">    a4</v>
      </c>
      <c r="D112" s="8" t="s">
        <v>352</v>
      </c>
      <c r="E112" s="9" t="s">
        <v>353</v>
      </c>
      <c r="F112" s="10"/>
      <c r="G112" s="10"/>
      <c r="H112" s="7">
        <v>106</v>
      </c>
      <c r="I112" s="11" t="b">
        <f>TRUE()</f>
        <v>1</v>
      </c>
      <c r="J112" s="12">
        <v>7.3230000000000003E-2</v>
      </c>
      <c r="K112" s="12">
        <v>6.9999999999999999E-4</v>
      </c>
      <c r="L112" s="13">
        <v>6.9999999999999999E-4</v>
      </c>
      <c r="M112" s="14"/>
      <c r="N112" s="14"/>
      <c r="O112" s="14"/>
      <c r="P112" s="14"/>
      <c r="Q112" s="14"/>
      <c r="R112" s="14"/>
      <c r="S112" s="14"/>
      <c r="T112" s="15">
        <f t="shared" si="10"/>
        <v>6.9999999999999999E-4</v>
      </c>
      <c r="U112" s="14"/>
      <c r="V112" s="15" t="str">
        <f t="shared" si="11"/>
        <v/>
      </c>
      <c r="W112" s="16"/>
      <c r="X112" s="17" t="s">
        <v>354</v>
      </c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spans="1:34" ht="15" customHeight="1">
      <c r="A113" s="6">
        <v>113</v>
      </c>
      <c r="B113" s="7">
        <v>3</v>
      </c>
      <c r="C113" s="6" t="str">
        <f t="shared" si="9"/>
        <v xml:space="preserve">   g3</v>
      </c>
      <c r="D113" s="8" t="s">
        <v>355</v>
      </c>
      <c r="E113" s="9" t="s">
        <v>356</v>
      </c>
      <c r="F113" s="10"/>
      <c r="G113" s="10"/>
      <c r="H113" s="7">
        <v>94</v>
      </c>
      <c r="I113" s="11" t="b">
        <f>FALSE()</f>
        <v>0</v>
      </c>
      <c r="J113" s="12">
        <v>0.12967999999999999</v>
      </c>
      <c r="K113" s="12">
        <v>6.0800000000000003E-3</v>
      </c>
      <c r="L113" s="13">
        <v>6.0800000000000003E-3</v>
      </c>
      <c r="M113" s="14"/>
      <c r="N113" s="14"/>
      <c r="O113" s="14"/>
      <c r="P113" s="14"/>
      <c r="Q113" s="14"/>
      <c r="R113" s="14"/>
      <c r="S113" s="14"/>
      <c r="T113" s="15">
        <f t="shared" si="10"/>
        <v>6.0800000000000003E-3</v>
      </c>
      <c r="U113" s="14"/>
      <c r="V113" s="15" t="str">
        <f t="shared" si="11"/>
        <v/>
      </c>
      <c r="W113" s="16"/>
      <c r="X113" s="17" t="s">
        <v>357</v>
      </c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spans="1:34" ht="15" customHeight="1">
      <c r="A114" s="6">
        <v>114</v>
      </c>
      <c r="B114" s="7">
        <v>4</v>
      </c>
      <c r="C114" s="6" t="str">
        <f t="shared" si="9"/>
        <v xml:space="preserve">    Bg2</v>
      </c>
      <c r="D114" s="8" t="s">
        <v>358</v>
      </c>
      <c r="E114" s="9" t="s">
        <v>359</v>
      </c>
      <c r="F114" s="10"/>
      <c r="G114" s="10"/>
      <c r="H114" s="7">
        <v>113</v>
      </c>
      <c r="I114" s="11" t="b">
        <f>TRUE()</f>
        <v>1</v>
      </c>
      <c r="J114" s="12">
        <v>1</v>
      </c>
      <c r="K114" s="12">
        <v>6.0800000000000003E-3</v>
      </c>
      <c r="L114" s="13">
        <v>6.0800000000000003E-3</v>
      </c>
      <c r="M114" s="14"/>
      <c r="N114" s="14"/>
      <c r="O114" s="14"/>
      <c r="P114" s="14"/>
      <c r="Q114" s="14"/>
      <c r="R114" s="14"/>
      <c r="S114" s="14"/>
      <c r="T114" s="15">
        <f t="shared" si="10"/>
        <v>6.0800000000000003E-3</v>
      </c>
      <c r="U114" s="14"/>
      <c r="V114" s="15" t="str">
        <f t="shared" si="11"/>
        <v/>
      </c>
      <c r="W114" s="16"/>
      <c r="X114" s="17" t="s">
        <v>360</v>
      </c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spans="1:34" ht="15" customHeight="1">
      <c r="A115" s="6">
        <v>115</v>
      </c>
      <c r="B115" s="7">
        <v>3</v>
      </c>
      <c r="C115" s="6" t="str">
        <f t="shared" si="9"/>
        <v xml:space="preserve">   Nc3</v>
      </c>
      <c r="D115" s="8" t="s">
        <v>361</v>
      </c>
      <c r="E115" s="9" t="s">
        <v>362</v>
      </c>
      <c r="F115" s="10"/>
      <c r="G115" s="10"/>
      <c r="H115" s="7">
        <v>94</v>
      </c>
      <c r="I115" s="11" t="b">
        <f>FALSE()</f>
        <v>0</v>
      </c>
      <c r="J115" s="12">
        <v>7.1910000000000002E-2</v>
      </c>
      <c r="K115" s="12">
        <v>3.3700000000000002E-3</v>
      </c>
      <c r="L115" s="13">
        <v>3.3700000000000002E-3</v>
      </c>
      <c r="M115" s="14"/>
      <c r="N115" s="14"/>
      <c r="O115" s="14"/>
      <c r="P115" s="14"/>
      <c r="Q115" s="14"/>
      <c r="R115" s="14"/>
      <c r="S115" s="14"/>
      <c r="T115" s="15">
        <f t="shared" si="10"/>
        <v>3.3700000000000002E-3</v>
      </c>
      <c r="U115" s="14"/>
      <c r="V115" s="15" t="str">
        <f t="shared" si="11"/>
        <v/>
      </c>
      <c r="W115" s="16"/>
      <c r="X115" s="17" t="s">
        <v>363</v>
      </c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 spans="1:34" ht="15" customHeight="1">
      <c r="A116" s="6">
        <v>116</v>
      </c>
      <c r="B116" s="7">
        <v>4</v>
      </c>
      <c r="C116" s="6" t="str">
        <f t="shared" si="9"/>
        <v xml:space="preserve">    Bf4</v>
      </c>
      <c r="D116" s="8" t="s">
        <v>364</v>
      </c>
      <c r="E116" s="9" t="s">
        <v>365</v>
      </c>
      <c r="F116" s="10"/>
      <c r="G116" s="10"/>
      <c r="H116" s="7">
        <v>115</v>
      </c>
      <c r="I116" s="11" t="b">
        <f>TRUE()</f>
        <v>1</v>
      </c>
      <c r="J116" s="12">
        <v>0.57850999999999997</v>
      </c>
      <c r="K116" s="12">
        <v>1.9499999999999999E-3</v>
      </c>
      <c r="L116" s="13">
        <v>1.9499999999999999E-3</v>
      </c>
      <c r="M116" s="14"/>
      <c r="N116" s="14"/>
      <c r="O116" s="14"/>
      <c r="P116" s="14"/>
      <c r="Q116" s="14"/>
      <c r="R116" s="14"/>
      <c r="S116" s="14"/>
      <c r="T116" s="15">
        <f t="shared" si="10"/>
        <v>1.9499999999999999E-3</v>
      </c>
      <c r="U116" s="14"/>
      <c r="V116" s="15" t="str">
        <f t="shared" si="11"/>
        <v/>
      </c>
      <c r="W116" s="16"/>
      <c r="X116" s="17" t="s">
        <v>366</v>
      </c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spans="1:34" ht="15" customHeight="1">
      <c r="A117" s="6">
        <v>117</v>
      </c>
      <c r="B117" s="7">
        <v>4</v>
      </c>
      <c r="C117" s="6" t="str">
        <f t="shared" si="9"/>
        <v xml:space="preserve">    e3</v>
      </c>
      <c r="D117" s="8" t="s">
        <v>367</v>
      </c>
      <c r="E117" s="9" t="s">
        <v>368</v>
      </c>
      <c r="F117" s="10"/>
      <c r="G117" s="10"/>
      <c r="H117" s="7">
        <v>115</v>
      </c>
      <c r="I117" s="11" t="b">
        <f>TRUE()</f>
        <v>1</v>
      </c>
      <c r="J117" s="12">
        <v>0.29870999999999998</v>
      </c>
      <c r="K117" s="12">
        <v>1.01E-3</v>
      </c>
      <c r="L117" s="13">
        <v>1.01E-3</v>
      </c>
      <c r="M117" s="14"/>
      <c r="N117" s="14"/>
      <c r="O117" s="14"/>
      <c r="P117" s="14"/>
      <c r="Q117" s="14"/>
      <c r="R117" s="14"/>
      <c r="S117" s="14"/>
      <c r="T117" s="15">
        <f t="shared" si="10"/>
        <v>1.01E-3</v>
      </c>
      <c r="U117" s="14"/>
      <c r="V117" s="15" t="str">
        <f t="shared" si="11"/>
        <v/>
      </c>
      <c r="W117" s="16"/>
      <c r="X117" s="17" t="s">
        <v>369</v>
      </c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spans="1:34" ht="15" customHeight="1">
      <c r="A118" s="6">
        <v>118</v>
      </c>
      <c r="B118" s="7">
        <v>4</v>
      </c>
      <c r="C118" s="6" t="str">
        <f t="shared" si="9"/>
        <v xml:space="preserve">    h3</v>
      </c>
      <c r="D118" s="8" t="s">
        <v>370</v>
      </c>
      <c r="E118" s="9" t="s">
        <v>371</v>
      </c>
      <c r="F118" s="10"/>
      <c r="G118" s="10"/>
      <c r="H118" s="7">
        <v>115</v>
      </c>
      <c r="I118" s="11" t="b">
        <f>TRUE()</f>
        <v>1</v>
      </c>
      <c r="J118" s="12">
        <v>0.12278</v>
      </c>
      <c r="K118" s="12">
        <v>4.0999999999999999E-4</v>
      </c>
      <c r="L118" s="13">
        <v>4.0999999999999999E-4</v>
      </c>
      <c r="M118" s="14"/>
      <c r="N118" s="14"/>
      <c r="O118" s="14"/>
      <c r="P118" s="14"/>
      <c r="Q118" s="14"/>
      <c r="R118" s="14"/>
      <c r="S118" s="14"/>
      <c r="T118" s="15">
        <f t="shared" si="10"/>
        <v>4.0999999999999999E-4</v>
      </c>
      <c r="U118" s="14"/>
      <c r="V118" s="15" t="str">
        <f t="shared" si="11"/>
        <v/>
      </c>
      <c r="W118" s="16"/>
      <c r="X118" s="17" t="s">
        <v>372</v>
      </c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spans="1:34" ht="15" customHeight="1">
      <c r="A119" s="6">
        <v>119</v>
      </c>
      <c r="B119" s="7">
        <v>2</v>
      </c>
      <c r="C119" s="6" t="str">
        <f t="shared" si="9"/>
        <v xml:space="preserve">  e3</v>
      </c>
      <c r="D119" s="8" t="s">
        <v>373</v>
      </c>
      <c r="E119" s="9" t="s">
        <v>374</v>
      </c>
      <c r="F119" s="10"/>
      <c r="G119" s="10"/>
      <c r="H119" s="7">
        <v>52</v>
      </c>
      <c r="I119" s="11" t="b">
        <f>FALSE()</f>
        <v>0</v>
      </c>
      <c r="J119" s="12">
        <v>8.9099999999999999E-2</v>
      </c>
      <c r="K119" s="12">
        <v>2.469E-2</v>
      </c>
      <c r="L119" s="13">
        <v>2.469E-2</v>
      </c>
      <c r="M119" s="14"/>
      <c r="N119" s="14"/>
      <c r="O119" s="14"/>
      <c r="P119" s="14"/>
      <c r="Q119" s="14"/>
      <c r="R119" s="14"/>
      <c r="S119" s="14"/>
      <c r="T119" s="15">
        <f t="shared" si="10"/>
        <v>2.469E-2</v>
      </c>
      <c r="U119" s="14"/>
      <c r="V119" s="15" t="str">
        <f t="shared" si="11"/>
        <v/>
      </c>
      <c r="W119" s="16"/>
      <c r="X119" s="17" t="s">
        <v>375</v>
      </c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spans="1:34" ht="15" customHeight="1">
      <c r="A120" s="6">
        <v>120</v>
      </c>
      <c r="B120" s="7">
        <v>3</v>
      </c>
      <c r="C120" s="6" t="str">
        <f t="shared" si="9"/>
        <v xml:space="preserve">   Bd3</v>
      </c>
      <c r="D120" s="8" t="s">
        <v>376</v>
      </c>
      <c r="E120" s="9" t="s">
        <v>377</v>
      </c>
      <c r="F120" s="10"/>
      <c r="G120" s="10"/>
      <c r="H120" s="7">
        <v>119</v>
      </c>
      <c r="I120" s="11" t="b">
        <f>FALSE()</f>
        <v>0</v>
      </c>
      <c r="J120" s="12">
        <v>0.36931999999999998</v>
      </c>
      <c r="K120" s="12">
        <v>9.1199999999999996E-3</v>
      </c>
      <c r="L120" s="13">
        <v>9.1199999999999996E-3</v>
      </c>
      <c r="M120" s="14"/>
      <c r="N120" s="14"/>
      <c r="O120" s="14"/>
      <c r="P120" s="14"/>
      <c r="Q120" s="14"/>
      <c r="R120" s="14"/>
      <c r="S120" s="14"/>
      <c r="T120" s="15">
        <f t="shared" si="10"/>
        <v>9.1199999999999996E-3</v>
      </c>
      <c r="U120" s="14"/>
      <c r="V120" s="15" t="str">
        <f t="shared" si="11"/>
        <v/>
      </c>
      <c r="W120" s="16"/>
      <c r="X120" s="17" t="s">
        <v>378</v>
      </c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spans="1:34" ht="15" customHeight="1">
      <c r="A121" s="6">
        <v>121</v>
      </c>
      <c r="B121" s="7">
        <v>4</v>
      </c>
      <c r="C121" s="6" t="str">
        <f t="shared" si="9"/>
        <v xml:space="preserve">    Bxf5</v>
      </c>
      <c r="D121" s="8" t="s">
        <v>379</v>
      </c>
      <c r="E121" s="9" t="s">
        <v>380</v>
      </c>
      <c r="F121" s="10"/>
      <c r="G121" s="10"/>
      <c r="H121" s="7">
        <v>120</v>
      </c>
      <c r="I121" s="11" t="b">
        <f>TRUE()</f>
        <v>1</v>
      </c>
      <c r="J121" s="12">
        <v>0.66320000000000001</v>
      </c>
      <c r="K121" s="12">
        <v>6.0499999999999998E-3</v>
      </c>
      <c r="L121" s="13">
        <v>6.0499999999999998E-3</v>
      </c>
      <c r="M121" s="14"/>
      <c r="N121" s="14"/>
      <c r="O121" s="14"/>
      <c r="P121" s="14"/>
      <c r="Q121" s="14"/>
      <c r="R121" s="14"/>
      <c r="S121" s="14"/>
      <c r="T121" s="15">
        <f t="shared" si="10"/>
        <v>6.0499999999999998E-3</v>
      </c>
      <c r="U121" s="14"/>
      <c r="V121" s="15" t="str">
        <f t="shared" si="11"/>
        <v/>
      </c>
      <c r="W121" s="16"/>
      <c r="X121" s="17" t="s">
        <v>381</v>
      </c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spans="1:34" ht="15" customHeight="1">
      <c r="A122" s="6">
        <v>122</v>
      </c>
      <c r="B122" s="7">
        <v>4</v>
      </c>
      <c r="C122" s="6" t="str">
        <f t="shared" si="9"/>
        <v xml:space="preserve">    f4</v>
      </c>
      <c r="D122" s="8" t="s">
        <v>382</v>
      </c>
      <c r="E122" s="9" t="s">
        <v>383</v>
      </c>
      <c r="F122" s="10"/>
      <c r="G122" s="10"/>
      <c r="H122" s="7">
        <v>120</v>
      </c>
      <c r="I122" s="11" t="b">
        <f>TRUE()</f>
        <v>1</v>
      </c>
      <c r="J122" s="12">
        <v>0.20977000000000001</v>
      </c>
      <c r="K122" s="12">
        <v>1.91E-3</v>
      </c>
      <c r="L122" s="13">
        <v>1.91E-3</v>
      </c>
      <c r="M122" s="14"/>
      <c r="N122" s="14"/>
      <c r="O122" s="14"/>
      <c r="P122" s="14"/>
      <c r="Q122" s="14"/>
      <c r="R122" s="14"/>
      <c r="S122" s="14"/>
      <c r="T122" s="15">
        <f t="shared" si="10"/>
        <v>1.91E-3</v>
      </c>
      <c r="U122" s="14"/>
      <c r="V122" s="15" t="str">
        <f t="shared" si="11"/>
        <v/>
      </c>
      <c r="W122" s="16"/>
      <c r="X122" s="17" t="s">
        <v>384</v>
      </c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 spans="1:34" ht="15" customHeight="1">
      <c r="A123" s="6">
        <v>123</v>
      </c>
      <c r="B123" s="7">
        <v>4</v>
      </c>
      <c r="C123" s="6" t="str">
        <f t="shared" si="9"/>
        <v xml:space="preserve">    Nf3</v>
      </c>
      <c r="D123" s="8" t="s">
        <v>385</v>
      </c>
      <c r="E123" s="9" t="s">
        <v>386</v>
      </c>
      <c r="F123" s="10"/>
      <c r="G123" s="10"/>
      <c r="H123" s="7">
        <v>120</v>
      </c>
      <c r="I123" s="11" t="b">
        <f>TRUE()</f>
        <v>1</v>
      </c>
      <c r="J123" s="12">
        <v>0.12703</v>
      </c>
      <c r="K123" s="12">
        <v>1.16E-3</v>
      </c>
      <c r="L123" s="13">
        <v>1.16E-3</v>
      </c>
      <c r="M123" s="14"/>
      <c r="N123" s="14"/>
      <c r="O123" s="14"/>
      <c r="P123" s="14"/>
      <c r="Q123" s="14"/>
      <c r="R123" s="14"/>
      <c r="S123" s="14"/>
      <c r="T123" s="15">
        <f t="shared" si="10"/>
        <v>1.16E-3</v>
      </c>
      <c r="U123" s="14"/>
      <c r="V123" s="15" t="str">
        <f t="shared" si="11"/>
        <v/>
      </c>
      <c r="W123" s="16"/>
      <c r="X123" s="17" t="s">
        <v>387</v>
      </c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 spans="1:34" ht="15" customHeight="1">
      <c r="A124" s="6">
        <v>124</v>
      </c>
      <c r="B124" s="7">
        <v>3</v>
      </c>
      <c r="C124" s="6" t="str">
        <f t="shared" si="9"/>
        <v xml:space="preserve">   c4</v>
      </c>
      <c r="D124" s="8" t="s">
        <v>388</v>
      </c>
      <c r="E124" s="9" t="s">
        <v>389</v>
      </c>
      <c r="F124" s="10"/>
      <c r="G124" s="10"/>
      <c r="H124" s="7">
        <v>119</v>
      </c>
      <c r="I124" s="11" t="b">
        <f>FALSE()</f>
        <v>0</v>
      </c>
      <c r="J124" s="12">
        <v>0.29204000000000002</v>
      </c>
      <c r="K124" s="12">
        <v>7.2100000000000003E-3</v>
      </c>
      <c r="L124" s="13">
        <v>7.2100000000000003E-3</v>
      </c>
      <c r="M124" s="14"/>
      <c r="N124" s="14"/>
      <c r="O124" s="14"/>
      <c r="P124" s="14"/>
      <c r="Q124" s="14"/>
      <c r="R124" s="14"/>
      <c r="S124" s="14"/>
      <c r="T124" s="15">
        <f t="shared" si="10"/>
        <v>7.2100000000000003E-3</v>
      </c>
      <c r="U124" s="14"/>
      <c r="V124" s="15" t="str">
        <f t="shared" si="11"/>
        <v/>
      </c>
      <c r="W124" s="16"/>
      <c r="X124" s="17" t="s">
        <v>390</v>
      </c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 spans="1:34" ht="15" customHeight="1">
      <c r="A125" s="6">
        <v>125</v>
      </c>
      <c r="B125" s="7">
        <v>4</v>
      </c>
      <c r="C125" s="6" t="str">
        <f t="shared" si="9"/>
        <v xml:space="preserve">    Nc3</v>
      </c>
      <c r="D125" s="8" t="s">
        <v>391</v>
      </c>
      <c r="E125" s="9" t="s">
        <v>392</v>
      </c>
      <c r="F125" s="10"/>
      <c r="G125" s="10"/>
      <c r="H125" s="7">
        <v>124</v>
      </c>
      <c r="I125" s="11" t="b">
        <f>TRUE()</f>
        <v>1</v>
      </c>
      <c r="J125" s="12">
        <v>0.34361000000000003</v>
      </c>
      <c r="K125" s="12">
        <v>2.48E-3</v>
      </c>
      <c r="L125" s="13">
        <v>2.48E-3</v>
      </c>
      <c r="M125" s="14"/>
      <c r="N125" s="14"/>
      <c r="O125" s="14"/>
      <c r="P125" s="14"/>
      <c r="Q125" s="14"/>
      <c r="R125" s="14"/>
      <c r="S125" s="14"/>
      <c r="T125" s="15">
        <f t="shared" si="10"/>
        <v>2.48E-3</v>
      </c>
      <c r="U125" s="14"/>
      <c r="V125" s="15" t="str">
        <f t="shared" si="11"/>
        <v/>
      </c>
      <c r="W125" s="16"/>
      <c r="X125" s="17" t="s">
        <v>393</v>
      </c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 spans="1:34" ht="15" customHeight="1">
      <c r="A126" s="6">
        <v>126</v>
      </c>
      <c r="B126" s="7">
        <v>4</v>
      </c>
      <c r="C126" s="6" t="str">
        <f t="shared" si="9"/>
        <v xml:space="preserve">    a3</v>
      </c>
      <c r="D126" s="8" t="s">
        <v>394</v>
      </c>
      <c r="E126" s="9" t="s">
        <v>395</v>
      </c>
      <c r="F126" s="10"/>
      <c r="G126" s="10"/>
      <c r="H126" s="7">
        <v>124</v>
      </c>
      <c r="I126" s="11" t="b">
        <f>TRUE()</f>
        <v>1</v>
      </c>
      <c r="J126" s="12">
        <v>0.15522</v>
      </c>
      <c r="K126" s="12">
        <v>1.1199999999999999E-3</v>
      </c>
      <c r="L126" s="13">
        <v>1.1199999999999999E-3</v>
      </c>
      <c r="M126" s="14"/>
      <c r="N126" s="14"/>
      <c r="O126" s="14"/>
      <c r="P126" s="14"/>
      <c r="Q126" s="14"/>
      <c r="R126" s="14"/>
      <c r="S126" s="14"/>
      <c r="T126" s="15">
        <f t="shared" si="10"/>
        <v>1.1199999999999999E-3</v>
      </c>
      <c r="U126" s="14"/>
      <c r="V126" s="15" t="str">
        <f t="shared" si="11"/>
        <v/>
      </c>
      <c r="W126" s="16"/>
      <c r="X126" s="17" t="s">
        <v>396</v>
      </c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 spans="1:34" ht="15" customHeight="1">
      <c r="A127" s="6">
        <v>127</v>
      </c>
      <c r="B127" s="7">
        <v>4</v>
      </c>
      <c r="C127" s="6" t="str">
        <f t="shared" si="9"/>
        <v xml:space="preserve">    Nf3</v>
      </c>
      <c r="D127" s="8" t="s">
        <v>397</v>
      </c>
      <c r="E127" s="9" t="s">
        <v>398</v>
      </c>
      <c r="F127" s="10"/>
      <c r="G127" s="10"/>
      <c r="H127" s="7">
        <v>124</v>
      </c>
      <c r="I127" s="11" t="b">
        <f>TRUE()</f>
        <v>1</v>
      </c>
      <c r="J127" s="12">
        <v>0.15090000000000001</v>
      </c>
      <c r="K127" s="12">
        <v>1.09E-3</v>
      </c>
      <c r="L127" s="13">
        <v>1.09E-3</v>
      </c>
      <c r="M127" s="14"/>
      <c r="N127" s="14"/>
      <c r="O127" s="14"/>
      <c r="P127" s="14"/>
      <c r="Q127" s="14"/>
      <c r="R127" s="14"/>
      <c r="S127" s="14"/>
      <c r="T127" s="15">
        <f t="shared" si="10"/>
        <v>1.09E-3</v>
      </c>
      <c r="U127" s="14"/>
      <c r="V127" s="15" t="str">
        <f t="shared" si="11"/>
        <v/>
      </c>
      <c r="W127" s="16"/>
      <c r="X127" s="17" t="s">
        <v>399</v>
      </c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 spans="1:34" ht="15" customHeight="1">
      <c r="A128" s="6">
        <v>128</v>
      </c>
      <c r="B128" s="7">
        <v>4</v>
      </c>
      <c r="C128" s="6" t="str">
        <f t="shared" si="9"/>
        <v xml:space="preserve">    cxd5</v>
      </c>
      <c r="D128" s="8" t="s">
        <v>400</v>
      </c>
      <c r="E128" s="9" t="s">
        <v>401</v>
      </c>
      <c r="F128" s="10"/>
      <c r="G128" s="10"/>
      <c r="H128" s="7">
        <v>124</v>
      </c>
      <c r="I128" s="11" t="b">
        <f>TRUE()</f>
        <v>1</v>
      </c>
      <c r="J128" s="12">
        <v>0.14995</v>
      </c>
      <c r="K128" s="12">
        <v>1.08E-3</v>
      </c>
      <c r="L128" s="13">
        <v>1.08E-3</v>
      </c>
      <c r="M128" s="14"/>
      <c r="N128" s="14"/>
      <c r="O128" s="14"/>
      <c r="P128" s="14"/>
      <c r="Q128" s="14"/>
      <c r="R128" s="14"/>
      <c r="S128" s="14"/>
      <c r="T128" s="15">
        <f t="shared" si="10"/>
        <v>1.08E-3</v>
      </c>
      <c r="U128" s="14"/>
      <c r="V128" s="15" t="str">
        <f t="shared" si="11"/>
        <v/>
      </c>
      <c r="W128" s="16"/>
      <c r="X128" s="17" t="s">
        <v>402</v>
      </c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spans="1:34" ht="15" customHeight="1">
      <c r="A129" s="6">
        <v>129</v>
      </c>
      <c r="B129" s="7">
        <v>4</v>
      </c>
      <c r="C129" s="6" t="str">
        <f t="shared" si="9"/>
        <v xml:space="preserve">    c5</v>
      </c>
      <c r="D129" s="8" t="s">
        <v>403</v>
      </c>
      <c r="E129" s="9" t="s">
        <v>404</v>
      </c>
      <c r="F129" s="10"/>
      <c r="G129" s="10"/>
      <c r="H129" s="7">
        <v>124</v>
      </c>
      <c r="I129" s="11" t="b">
        <f>TRUE()</f>
        <v>1</v>
      </c>
      <c r="J129" s="12">
        <v>0.12928000000000001</v>
      </c>
      <c r="K129" s="12">
        <v>9.3000000000000005E-4</v>
      </c>
      <c r="L129" s="13">
        <v>9.3000000000000005E-4</v>
      </c>
      <c r="M129" s="14"/>
      <c r="N129" s="14"/>
      <c r="O129" s="14"/>
      <c r="P129" s="14"/>
      <c r="Q129" s="14"/>
      <c r="R129" s="14"/>
      <c r="S129" s="14"/>
      <c r="T129" s="15">
        <f t="shared" si="10"/>
        <v>9.3000000000000005E-4</v>
      </c>
      <c r="U129" s="14"/>
      <c r="V129" s="15" t="str">
        <f t="shared" si="11"/>
        <v/>
      </c>
      <c r="W129" s="16"/>
      <c r="X129" s="17" t="s">
        <v>405</v>
      </c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 spans="1:34" ht="15" customHeight="1">
      <c r="A130" s="6">
        <v>130</v>
      </c>
      <c r="B130" s="7">
        <v>4</v>
      </c>
      <c r="C130" s="6" t="str">
        <f t="shared" ref="C130:C161" si="12">REPT(" ",B130)&amp;TRIM(RIGHT(SUBSTITUTE(D130," ",REPT(" ",99)),99))</f>
        <v xml:space="preserve">    Qb3</v>
      </c>
      <c r="D130" s="8" t="s">
        <v>406</v>
      </c>
      <c r="E130" s="9" t="s">
        <v>407</v>
      </c>
      <c r="F130" s="10"/>
      <c r="G130" s="10"/>
      <c r="H130" s="7">
        <v>124</v>
      </c>
      <c r="I130" s="11" t="b">
        <f>TRUE()</f>
        <v>1</v>
      </c>
      <c r="J130" s="12">
        <v>7.1050000000000002E-2</v>
      </c>
      <c r="K130" s="12">
        <v>5.1000000000000004E-4</v>
      </c>
      <c r="L130" s="13">
        <v>5.1000000000000004E-4</v>
      </c>
      <c r="M130" s="14"/>
      <c r="N130" s="14"/>
      <c r="O130" s="14"/>
      <c r="P130" s="14"/>
      <c r="Q130" s="14"/>
      <c r="R130" s="14"/>
      <c r="S130" s="14"/>
      <c r="T130" s="15">
        <f t="shared" ref="T130:T161" si="13">L130+SUM(M130:S130)</f>
        <v>5.1000000000000004E-4</v>
      </c>
      <c r="U130" s="14"/>
      <c r="V130" s="15" t="str">
        <f t="shared" ref="V130:V161" si="14">IF(U130="","",T130-U130)</f>
        <v/>
      </c>
      <c r="W130" s="16"/>
      <c r="X130" s="17" t="s">
        <v>408</v>
      </c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 spans="1:34" ht="15" customHeight="1">
      <c r="A131" s="6">
        <v>131</v>
      </c>
      <c r="B131" s="7">
        <v>3</v>
      </c>
      <c r="C131" s="6" t="str">
        <f t="shared" si="12"/>
        <v xml:space="preserve">   Nf3</v>
      </c>
      <c r="D131" s="8" t="s">
        <v>409</v>
      </c>
      <c r="E131" s="9" t="s">
        <v>410</v>
      </c>
      <c r="F131" s="10"/>
      <c r="G131" s="10"/>
      <c r="H131" s="7">
        <v>119</v>
      </c>
      <c r="I131" s="11" t="b">
        <f>FALSE()</f>
        <v>0</v>
      </c>
      <c r="J131" s="12">
        <v>0.25564999999999999</v>
      </c>
      <c r="K131" s="12">
        <v>6.3099999999999996E-3</v>
      </c>
      <c r="L131" s="13">
        <v>6.3099999999999996E-3</v>
      </c>
      <c r="M131" s="14"/>
      <c r="N131" s="14"/>
      <c r="O131" s="14"/>
      <c r="P131" s="14"/>
      <c r="Q131" s="14"/>
      <c r="R131" s="14"/>
      <c r="S131" s="14"/>
      <c r="T131" s="15">
        <f t="shared" si="13"/>
        <v>6.3099999999999996E-3</v>
      </c>
      <c r="U131" s="14"/>
      <c r="V131" s="15" t="str">
        <f t="shared" si="14"/>
        <v/>
      </c>
      <c r="W131" s="16"/>
      <c r="X131" s="17" t="s">
        <v>411</v>
      </c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 spans="1:34" ht="15" customHeight="1">
      <c r="A132" s="6">
        <v>132</v>
      </c>
      <c r="B132" s="7">
        <v>4</v>
      </c>
      <c r="C132" s="6" t="str">
        <f t="shared" si="12"/>
        <v xml:space="preserve">    Bd3</v>
      </c>
      <c r="D132" s="8" t="s">
        <v>412</v>
      </c>
      <c r="E132" s="9" t="s">
        <v>386</v>
      </c>
      <c r="F132" s="10">
        <v>123</v>
      </c>
      <c r="G132" s="10">
        <v>3</v>
      </c>
      <c r="H132" s="7">
        <v>131</v>
      </c>
      <c r="I132" s="11" t="b">
        <f>TRUE()</f>
        <v>1</v>
      </c>
      <c r="J132" s="12">
        <v>0.40527999999999997</v>
      </c>
      <c r="K132" s="12">
        <v>2.5600000000000002E-3</v>
      </c>
      <c r="L132" s="13">
        <v>2.5600000000000002E-3</v>
      </c>
      <c r="M132" s="14"/>
      <c r="N132" s="14"/>
      <c r="O132" s="14"/>
      <c r="P132" s="14"/>
      <c r="Q132" s="14"/>
      <c r="R132" s="14"/>
      <c r="S132" s="14"/>
      <c r="T132" s="15">
        <f t="shared" si="13"/>
        <v>2.5600000000000002E-3</v>
      </c>
      <c r="U132" s="14"/>
      <c r="V132" s="15" t="str">
        <f t="shared" si="14"/>
        <v/>
      </c>
      <c r="W132" s="16"/>
      <c r="X132" s="17" t="s">
        <v>413</v>
      </c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 spans="1:34" ht="15" customHeight="1">
      <c r="A133" s="6">
        <v>133</v>
      </c>
      <c r="B133" s="7">
        <v>4</v>
      </c>
      <c r="C133" s="6" t="str">
        <f t="shared" si="12"/>
        <v xml:space="preserve">    c4</v>
      </c>
      <c r="D133" s="8" t="s">
        <v>414</v>
      </c>
      <c r="E133" s="9" t="s">
        <v>398</v>
      </c>
      <c r="F133" s="10">
        <v>127</v>
      </c>
      <c r="G133" s="10">
        <v>4</v>
      </c>
      <c r="H133" s="7">
        <v>131</v>
      </c>
      <c r="I133" s="11" t="b">
        <f>TRUE()</f>
        <v>1</v>
      </c>
      <c r="J133" s="12">
        <v>0.29006999999999999</v>
      </c>
      <c r="K133" s="12">
        <v>1.83E-3</v>
      </c>
      <c r="L133" s="13">
        <v>1.83E-3</v>
      </c>
      <c r="M133" s="14"/>
      <c r="N133" s="14"/>
      <c r="O133" s="14"/>
      <c r="P133" s="14"/>
      <c r="Q133" s="14"/>
      <c r="R133" s="14"/>
      <c r="S133" s="14"/>
      <c r="T133" s="15">
        <f t="shared" si="13"/>
        <v>1.83E-3</v>
      </c>
      <c r="U133" s="14"/>
      <c r="V133" s="15" t="str">
        <f t="shared" si="14"/>
        <v/>
      </c>
      <c r="W133" s="16"/>
      <c r="X133" s="17" t="s">
        <v>415</v>
      </c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 spans="1:34" ht="15" customHeight="1">
      <c r="A134" s="6">
        <v>134</v>
      </c>
      <c r="B134" s="7">
        <v>4</v>
      </c>
      <c r="C134" s="6" t="str">
        <f t="shared" si="12"/>
        <v xml:space="preserve">    a3</v>
      </c>
      <c r="D134" s="8" t="s">
        <v>416</v>
      </c>
      <c r="E134" s="9" t="s">
        <v>417</v>
      </c>
      <c r="F134" s="10"/>
      <c r="G134" s="10"/>
      <c r="H134" s="7">
        <v>131</v>
      </c>
      <c r="I134" s="11" t="b">
        <f>TRUE()</f>
        <v>1</v>
      </c>
      <c r="J134" s="12">
        <v>0.11452</v>
      </c>
      <c r="K134" s="12">
        <v>7.2000000000000005E-4</v>
      </c>
      <c r="L134" s="13">
        <v>7.2000000000000005E-4</v>
      </c>
      <c r="M134" s="14"/>
      <c r="N134" s="14"/>
      <c r="O134" s="14"/>
      <c r="P134" s="14"/>
      <c r="Q134" s="14"/>
      <c r="R134" s="14"/>
      <c r="S134" s="14"/>
      <c r="T134" s="15">
        <f t="shared" si="13"/>
        <v>7.2000000000000005E-4</v>
      </c>
      <c r="U134" s="14"/>
      <c r="V134" s="15" t="str">
        <f t="shared" si="14"/>
        <v/>
      </c>
      <c r="W134" s="16"/>
      <c r="X134" s="17" t="s">
        <v>418</v>
      </c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 spans="1:34" ht="15" customHeight="1">
      <c r="A135" s="6">
        <v>135</v>
      </c>
      <c r="B135" s="7">
        <v>4</v>
      </c>
      <c r="C135" s="6" t="str">
        <f t="shared" si="12"/>
        <v xml:space="preserve">    Be2</v>
      </c>
      <c r="D135" s="8" t="s">
        <v>419</v>
      </c>
      <c r="E135" s="9" t="s">
        <v>420</v>
      </c>
      <c r="F135" s="10"/>
      <c r="G135" s="10"/>
      <c r="H135" s="7">
        <v>131</v>
      </c>
      <c r="I135" s="11" t="b">
        <f>TRUE()</f>
        <v>1</v>
      </c>
      <c r="J135" s="12">
        <v>9.7059999999999994E-2</v>
      </c>
      <c r="K135" s="12">
        <v>6.0999999999999997E-4</v>
      </c>
      <c r="L135" s="13">
        <v>6.0999999999999997E-4</v>
      </c>
      <c r="M135" s="14"/>
      <c r="N135" s="14"/>
      <c r="O135" s="14"/>
      <c r="P135" s="14"/>
      <c r="Q135" s="14"/>
      <c r="R135" s="14"/>
      <c r="S135" s="14"/>
      <c r="T135" s="15">
        <f t="shared" si="13"/>
        <v>6.0999999999999997E-4</v>
      </c>
      <c r="U135" s="14"/>
      <c r="V135" s="15" t="str">
        <f t="shared" si="14"/>
        <v/>
      </c>
      <c r="W135" s="16"/>
      <c r="X135" s="17" t="s">
        <v>421</v>
      </c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 spans="1:34" ht="15" customHeight="1">
      <c r="A136" s="6">
        <v>136</v>
      </c>
      <c r="B136" s="7">
        <v>4</v>
      </c>
      <c r="C136" s="6" t="str">
        <f t="shared" si="12"/>
        <v xml:space="preserve">    Nbd2</v>
      </c>
      <c r="D136" s="8" t="s">
        <v>422</v>
      </c>
      <c r="E136" s="9" t="s">
        <v>423</v>
      </c>
      <c r="F136" s="10"/>
      <c r="G136" s="10"/>
      <c r="H136" s="7">
        <v>131</v>
      </c>
      <c r="I136" s="11" t="b">
        <f>TRUE()</f>
        <v>1</v>
      </c>
      <c r="J136" s="12">
        <v>9.307E-2</v>
      </c>
      <c r="K136" s="12">
        <v>5.9000000000000003E-4</v>
      </c>
      <c r="L136" s="13">
        <v>5.9000000000000003E-4</v>
      </c>
      <c r="M136" s="14"/>
      <c r="N136" s="14"/>
      <c r="O136" s="14"/>
      <c r="P136" s="14"/>
      <c r="Q136" s="14"/>
      <c r="R136" s="14"/>
      <c r="S136" s="14"/>
      <c r="T136" s="15">
        <f t="shared" si="13"/>
        <v>5.9000000000000003E-4</v>
      </c>
      <c r="U136" s="14"/>
      <c r="V136" s="15" t="str">
        <f t="shared" si="14"/>
        <v/>
      </c>
      <c r="W136" s="16"/>
      <c r="X136" s="17" t="s">
        <v>424</v>
      </c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 spans="1:34" ht="15" customHeight="1">
      <c r="A137" s="6">
        <v>137</v>
      </c>
      <c r="B137" s="7">
        <v>3</v>
      </c>
      <c r="C137" s="6" t="str">
        <f t="shared" si="12"/>
        <v xml:space="preserve">   f4</v>
      </c>
      <c r="D137" s="8" t="s">
        <v>425</v>
      </c>
      <c r="E137" s="9" t="s">
        <v>426</v>
      </c>
      <c r="F137" s="10"/>
      <c r="G137" s="10"/>
      <c r="H137" s="7">
        <v>119</v>
      </c>
      <c r="I137" s="11" t="b">
        <f>FALSE()</f>
        <v>0</v>
      </c>
      <c r="J137" s="12">
        <v>8.2989999999999994E-2</v>
      </c>
      <c r="K137" s="12">
        <v>2.0500000000000002E-3</v>
      </c>
      <c r="L137" s="13">
        <v>2.0500000000000002E-3</v>
      </c>
      <c r="M137" s="14"/>
      <c r="N137" s="14"/>
      <c r="O137" s="14"/>
      <c r="P137" s="14"/>
      <c r="Q137" s="14"/>
      <c r="R137" s="14"/>
      <c r="S137" s="14"/>
      <c r="T137" s="15">
        <f t="shared" si="13"/>
        <v>2.0500000000000002E-3</v>
      </c>
      <c r="U137" s="14"/>
      <c r="V137" s="15" t="str">
        <f t="shared" si="14"/>
        <v/>
      </c>
      <c r="W137" s="16"/>
      <c r="X137" s="17" t="s">
        <v>427</v>
      </c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 spans="1:34" ht="15" customHeight="1">
      <c r="A138" s="6">
        <v>138</v>
      </c>
      <c r="B138" s="7">
        <v>4</v>
      </c>
      <c r="C138" s="6" t="str">
        <f t="shared" si="12"/>
        <v xml:space="preserve">    Nf3</v>
      </c>
      <c r="D138" s="8" t="s">
        <v>428</v>
      </c>
      <c r="E138" s="9" t="s">
        <v>429</v>
      </c>
      <c r="F138" s="10"/>
      <c r="G138" s="10"/>
      <c r="H138" s="7">
        <v>137</v>
      </c>
      <c r="I138" s="11" t="b">
        <f>TRUE()</f>
        <v>1</v>
      </c>
      <c r="J138" s="12">
        <v>0.71292999999999995</v>
      </c>
      <c r="K138" s="12">
        <v>1.4599999999999999E-3</v>
      </c>
      <c r="L138" s="13">
        <v>1.4599999999999999E-3</v>
      </c>
      <c r="M138" s="14"/>
      <c r="N138" s="14"/>
      <c r="O138" s="14"/>
      <c r="P138" s="14"/>
      <c r="Q138" s="14"/>
      <c r="R138" s="14"/>
      <c r="S138" s="14"/>
      <c r="T138" s="15">
        <f t="shared" si="13"/>
        <v>1.4599999999999999E-3</v>
      </c>
      <c r="U138" s="14"/>
      <c r="V138" s="15" t="str">
        <f t="shared" si="14"/>
        <v/>
      </c>
      <c r="W138" s="16"/>
      <c r="X138" s="17" t="s">
        <v>430</v>
      </c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 spans="1:34" ht="15" customHeight="1">
      <c r="A139" s="6">
        <v>139</v>
      </c>
      <c r="B139" s="7">
        <v>4</v>
      </c>
      <c r="C139" s="6" t="str">
        <f t="shared" si="12"/>
        <v xml:space="preserve">    Bd3</v>
      </c>
      <c r="D139" s="8" t="s">
        <v>431</v>
      </c>
      <c r="E139" s="9" t="s">
        <v>383</v>
      </c>
      <c r="F139" s="10">
        <v>122</v>
      </c>
      <c r="G139" s="10">
        <v>5</v>
      </c>
      <c r="H139" s="7">
        <v>137</v>
      </c>
      <c r="I139" s="11" t="b">
        <f>TRUE()</f>
        <v>1</v>
      </c>
      <c r="J139" s="12">
        <v>0.22982</v>
      </c>
      <c r="K139" s="12">
        <v>4.6999999999999999E-4</v>
      </c>
      <c r="L139" s="13">
        <v>4.6999999999999999E-4</v>
      </c>
      <c r="M139" s="14"/>
      <c r="N139" s="14"/>
      <c r="O139" s="14"/>
      <c r="P139" s="14"/>
      <c r="Q139" s="14"/>
      <c r="R139" s="14"/>
      <c r="S139" s="14"/>
      <c r="T139" s="15">
        <f t="shared" si="13"/>
        <v>4.6999999999999999E-4</v>
      </c>
      <c r="U139" s="14"/>
      <c r="V139" s="15" t="str">
        <f t="shared" si="14"/>
        <v/>
      </c>
      <c r="W139" s="16"/>
      <c r="X139" s="17" t="s">
        <v>432</v>
      </c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 spans="1:34" ht="15" customHeight="1">
      <c r="A140" s="6">
        <v>140</v>
      </c>
      <c r="B140" s="7">
        <v>4</v>
      </c>
      <c r="C140" s="6" t="str">
        <f t="shared" si="12"/>
        <v xml:space="preserve">    c3</v>
      </c>
      <c r="D140" s="8" t="s">
        <v>433</v>
      </c>
      <c r="E140" s="9" t="s">
        <v>434</v>
      </c>
      <c r="F140" s="10"/>
      <c r="G140" s="10"/>
      <c r="H140" s="7">
        <v>137</v>
      </c>
      <c r="I140" s="11" t="b">
        <f>TRUE()</f>
        <v>1</v>
      </c>
      <c r="J140" s="12">
        <v>5.7259999999999998E-2</v>
      </c>
      <c r="K140" s="12">
        <v>1.2E-4</v>
      </c>
      <c r="L140" s="13">
        <v>1.2E-4</v>
      </c>
      <c r="M140" s="14"/>
      <c r="N140" s="14"/>
      <c r="O140" s="14"/>
      <c r="P140" s="14"/>
      <c r="Q140" s="14"/>
      <c r="R140" s="14"/>
      <c r="S140" s="14"/>
      <c r="T140" s="15">
        <f t="shared" si="13"/>
        <v>1.2E-4</v>
      </c>
      <c r="U140" s="14"/>
      <c r="V140" s="15" t="str">
        <f t="shared" si="14"/>
        <v/>
      </c>
      <c r="W140" s="16"/>
      <c r="X140" s="17" t="s">
        <v>435</v>
      </c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 spans="1:34" ht="15" customHeight="1">
      <c r="A141" s="6">
        <v>141</v>
      </c>
      <c r="B141" s="7">
        <v>2</v>
      </c>
      <c r="C141" s="6" t="str">
        <f t="shared" si="12"/>
        <v xml:space="preserve">  Nc3</v>
      </c>
      <c r="D141" s="8" t="s">
        <v>436</v>
      </c>
      <c r="E141" s="9" t="s">
        <v>437</v>
      </c>
      <c r="F141" s="10"/>
      <c r="G141" s="10"/>
      <c r="H141" s="7">
        <v>52</v>
      </c>
      <c r="I141" s="11" t="b">
        <f>FALSE()</f>
        <v>0</v>
      </c>
      <c r="J141" s="12">
        <v>6.1789999999999998E-2</v>
      </c>
      <c r="K141" s="12">
        <v>1.712E-2</v>
      </c>
      <c r="L141" s="13">
        <v>1.712E-2</v>
      </c>
      <c r="M141" s="14"/>
      <c r="N141" s="14"/>
      <c r="O141" s="14"/>
      <c r="P141" s="14"/>
      <c r="Q141" s="14"/>
      <c r="R141" s="14"/>
      <c r="S141" s="14"/>
      <c r="T141" s="15">
        <f t="shared" si="13"/>
        <v>1.712E-2</v>
      </c>
      <c r="U141" s="14"/>
      <c r="V141" s="15" t="str">
        <f t="shared" si="14"/>
        <v/>
      </c>
      <c r="W141" s="16"/>
      <c r="X141" s="17" t="s">
        <v>438</v>
      </c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 spans="1:34" ht="15" customHeight="1">
      <c r="A142" s="6">
        <v>142</v>
      </c>
      <c r="B142" s="7">
        <v>3</v>
      </c>
      <c r="C142" s="6" t="str">
        <f t="shared" si="12"/>
        <v xml:space="preserve">   Bf4</v>
      </c>
      <c r="D142" s="8" t="s">
        <v>439</v>
      </c>
      <c r="E142" s="9" t="s">
        <v>440</v>
      </c>
      <c r="F142" s="10"/>
      <c r="G142" s="10"/>
      <c r="H142" s="7">
        <v>141</v>
      </c>
      <c r="I142" s="11" t="b">
        <f>FALSE()</f>
        <v>0</v>
      </c>
      <c r="J142" s="12">
        <v>0.53778000000000004</v>
      </c>
      <c r="K142" s="12">
        <v>9.2099999999999994E-3</v>
      </c>
      <c r="L142" s="13">
        <v>9.2099999999999994E-3</v>
      </c>
      <c r="M142" s="14"/>
      <c r="N142" s="14"/>
      <c r="O142" s="14"/>
      <c r="P142" s="14"/>
      <c r="Q142" s="14"/>
      <c r="R142" s="14"/>
      <c r="S142" s="14"/>
      <c r="T142" s="15">
        <f t="shared" si="13"/>
        <v>9.2099999999999994E-3</v>
      </c>
      <c r="U142" s="14"/>
      <c r="V142" s="15" t="str">
        <f t="shared" si="14"/>
        <v/>
      </c>
      <c r="W142" s="16"/>
      <c r="X142" s="17" t="s">
        <v>441</v>
      </c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 spans="1:34" ht="15" customHeight="1">
      <c r="A143" s="6">
        <v>143</v>
      </c>
      <c r="B143" s="7">
        <v>4</v>
      </c>
      <c r="C143" s="6" t="str">
        <f t="shared" si="12"/>
        <v xml:space="preserve">    Rb1</v>
      </c>
      <c r="D143" s="8" t="s">
        <v>442</v>
      </c>
      <c r="E143" s="9" t="s">
        <v>443</v>
      </c>
      <c r="F143" s="10"/>
      <c r="G143" s="10"/>
      <c r="H143" s="7">
        <v>142</v>
      </c>
      <c r="I143" s="11" t="b">
        <f>TRUE()</f>
        <v>1</v>
      </c>
      <c r="J143" s="12">
        <v>0.38186999999999999</v>
      </c>
      <c r="K143" s="12">
        <v>3.5200000000000001E-3</v>
      </c>
      <c r="L143" s="13">
        <v>3.5200000000000001E-3</v>
      </c>
      <c r="M143" s="14"/>
      <c r="N143" s="14"/>
      <c r="O143" s="14"/>
      <c r="P143" s="14"/>
      <c r="Q143" s="14"/>
      <c r="R143" s="14"/>
      <c r="S143" s="14"/>
      <c r="T143" s="15">
        <f t="shared" si="13"/>
        <v>3.5200000000000001E-3</v>
      </c>
      <c r="U143" s="14"/>
      <c r="V143" s="15" t="str">
        <f t="shared" si="14"/>
        <v/>
      </c>
      <c r="W143" s="16"/>
      <c r="X143" s="17" t="s">
        <v>444</v>
      </c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 spans="1:34" ht="15" customHeight="1">
      <c r="A144" s="6">
        <v>144</v>
      </c>
      <c r="B144" s="7">
        <v>4</v>
      </c>
      <c r="C144" s="6" t="str">
        <f t="shared" si="12"/>
        <v xml:space="preserve">    Na4</v>
      </c>
      <c r="D144" s="8" t="s">
        <v>445</v>
      </c>
      <c r="E144" s="9" t="s">
        <v>446</v>
      </c>
      <c r="F144" s="10"/>
      <c r="G144" s="10"/>
      <c r="H144" s="7">
        <v>142</v>
      </c>
      <c r="I144" s="11" t="b">
        <f>TRUE()</f>
        <v>1</v>
      </c>
      <c r="J144" s="12">
        <v>0.29708000000000001</v>
      </c>
      <c r="K144" s="12">
        <v>2.7399999999999998E-3</v>
      </c>
      <c r="L144" s="13">
        <v>2.7399999999999998E-3</v>
      </c>
      <c r="M144" s="14"/>
      <c r="N144" s="14"/>
      <c r="O144" s="14"/>
      <c r="P144" s="14"/>
      <c r="Q144" s="14"/>
      <c r="R144" s="14"/>
      <c r="S144" s="14"/>
      <c r="T144" s="15">
        <f t="shared" si="13"/>
        <v>2.7399999999999998E-3</v>
      </c>
      <c r="U144" s="14"/>
      <c r="V144" s="15" t="str">
        <f t="shared" si="14"/>
        <v/>
      </c>
      <c r="W144" s="16"/>
      <c r="X144" s="17" t="s">
        <v>447</v>
      </c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 spans="1:34" ht="15" customHeight="1">
      <c r="A145" s="6">
        <v>145</v>
      </c>
      <c r="B145" s="7">
        <v>4</v>
      </c>
      <c r="C145" s="6" t="str">
        <f t="shared" si="12"/>
        <v xml:space="preserve">    b3</v>
      </c>
      <c r="D145" s="8" t="s">
        <v>448</v>
      </c>
      <c r="E145" s="9" t="s">
        <v>449</v>
      </c>
      <c r="F145" s="10"/>
      <c r="G145" s="10"/>
      <c r="H145" s="7">
        <v>142</v>
      </c>
      <c r="I145" s="11" t="b">
        <f>TRUE()</f>
        <v>1</v>
      </c>
      <c r="J145" s="12">
        <v>0.17832000000000001</v>
      </c>
      <c r="K145" s="12">
        <v>1.64E-3</v>
      </c>
      <c r="L145" s="13">
        <v>1.64E-3</v>
      </c>
      <c r="M145" s="14"/>
      <c r="N145" s="14"/>
      <c r="O145" s="14"/>
      <c r="P145" s="14"/>
      <c r="Q145" s="14"/>
      <c r="R145" s="14"/>
      <c r="S145" s="14"/>
      <c r="T145" s="15">
        <f t="shared" si="13"/>
        <v>1.64E-3</v>
      </c>
      <c r="U145" s="14"/>
      <c r="V145" s="15" t="str">
        <f t="shared" si="14"/>
        <v/>
      </c>
      <c r="W145" s="16"/>
      <c r="X145" s="17" t="s">
        <v>450</v>
      </c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 spans="1:34" ht="15" customHeight="1">
      <c r="A146" s="6">
        <v>146</v>
      </c>
      <c r="B146" s="7">
        <v>4</v>
      </c>
      <c r="C146" s="6" t="str">
        <f t="shared" si="12"/>
        <v xml:space="preserve">    e3</v>
      </c>
      <c r="D146" s="8" t="s">
        <v>451</v>
      </c>
      <c r="E146" s="9" t="s">
        <v>452</v>
      </c>
      <c r="F146" s="10"/>
      <c r="G146" s="10"/>
      <c r="H146" s="7">
        <v>142</v>
      </c>
      <c r="I146" s="11" t="b">
        <f>TRUE()</f>
        <v>1</v>
      </c>
      <c r="J146" s="12">
        <v>8.1229999999999997E-2</v>
      </c>
      <c r="K146" s="12">
        <v>7.5000000000000002E-4</v>
      </c>
      <c r="L146" s="13">
        <v>7.5000000000000002E-4</v>
      </c>
      <c r="M146" s="14"/>
      <c r="N146" s="14"/>
      <c r="O146" s="14"/>
      <c r="P146" s="14"/>
      <c r="Q146" s="14"/>
      <c r="R146" s="14"/>
      <c r="S146" s="14"/>
      <c r="T146" s="15">
        <f t="shared" si="13"/>
        <v>7.5000000000000002E-4</v>
      </c>
      <c r="U146" s="14"/>
      <c r="V146" s="15" t="str">
        <f t="shared" si="14"/>
        <v/>
      </c>
      <c r="W146" s="16"/>
      <c r="X146" s="17" t="s">
        <v>453</v>
      </c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 spans="1:34" ht="15" customHeight="1">
      <c r="A147" s="6">
        <v>147</v>
      </c>
      <c r="B147" s="7">
        <v>4</v>
      </c>
      <c r="C147" s="6" t="str">
        <f t="shared" si="12"/>
        <v xml:space="preserve">    a3</v>
      </c>
      <c r="D147" s="8" t="s">
        <v>454</v>
      </c>
      <c r="E147" s="9" t="s">
        <v>455</v>
      </c>
      <c r="F147" s="10"/>
      <c r="G147" s="10"/>
      <c r="H147" s="7">
        <v>142</v>
      </c>
      <c r="I147" s="11" t="b">
        <f>TRUE()</f>
        <v>1</v>
      </c>
      <c r="J147" s="12">
        <v>6.1490000000000003E-2</v>
      </c>
      <c r="K147" s="12">
        <v>5.6999999999999998E-4</v>
      </c>
      <c r="L147" s="13">
        <v>5.6999999999999998E-4</v>
      </c>
      <c r="M147" s="14"/>
      <c r="N147" s="14"/>
      <c r="O147" s="14"/>
      <c r="P147" s="14"/>
      <c r="Q147" s="14"/>
      <c r="R147" s="14"/>
      <c r="S147" s="14"/>
      <c r="T147" s="15">
        <f t="shared" si="13"/>
        <v>5.6999999999999998E-4</v>
      </c>
      <c r="U147" s="14"/>
      <c r="V147" s="15" t="str">
        <f t="shared" si="14"/>
        <v/>
      </c>
      <c r="W147" s="16"/>
      <c r="X147" s="17" t="s">
        <v>456</v>
      </c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 spans="1:34" ht="15" customHeight="1">
      <c r="A148" s="6">
        <v>148</v>
      </c>
      <c r="B148" s="7">
        <v>3</v>
      </c>
      <c r="C148" s="6" t="str">
        <f t="shared" si="12"/>
        <v xml:space="preserve">   e4</v>
      </c>
      <c r="D148" s="8" t="s">
        <v>457</v>
      </c>
      <c r="E148" s="9" t="s">
        <v>64</v>
      </c>
      <c r="F148" s="10">
        <v>15</v>
      </c>
      <c r="G148" s="10">
        <v>6</v>
      </c>
      <c r="H148" s="7">
        <v>141</v>
      </c>
      <c r="I148" s="11" t="b">
        <f>TRUE()</f>
        <v>1</v>
      </c>
      <c r="J148" s="12">
        <v>0.27778999999999998</v>
      </c>
      <c r="K148" s="12">
        <v>4.7600000000000003E-3</v>
      </c>
      <c r="L148" s="13">
        <v>4.7600000000000003E-3</v>
      </c>
      <c r="M148" s="14"/>
      <c r="N148" s="14"/>
      <c r="O148" s="14"/>
      <c r="P148" s="14"/>
      <c r="Q148" s="14"/>
      <c r="R148" s="14"/>
      <c r="S148" s="14"/>
      <c r="T148" s="15">
        <f t="shared" si="13"/>
        <v>4.7600000000000003E-3</v>
      </c>
      <c r="U148" s="14"/>
      <c r="V148" s="15" t="str">
        <f t="shared" si="14"/>
        <v/>
      </c>
      <c r="W148" s="16"/>
      <c r="X148" s="17" t="s">
        <v>458</v>
      </c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 spans="1:34" ht="15" customHeight="1">
      <c r="A149" s="6">
        <v>149</v>
      </c>
      <c r="B149" s="7">
        <v>3</v>
      </c>
      <c r="C149" s="6" t="str">
        <f t="shared" si="12"/>
        <v xml:space="preserve">   Nf3</v>
      </c>
      <c r="D149" s="8" t="s">
        <v>459</v>
      </c>
      <c r="E149" s="9" t="s">
        <v>362</v>
      </c>
      <c r="F149" s="10">
        <v>115</v>
      </c>
      <c r="G149" s="10">
        <v>7</v>
      </c>
      <c r="H149" s="7">
        <v>141</v>
      </c>
      <c r="I149" s="11" t="b">
        <f>TRUE()</f>
        <v>1</v>
      </c>
      <c r="J149" s="12">
        <v>0.18443000000000001</v>
      </c>
      <c r="K149" s="12">
        <v>3.16E-3</v>
      </c>
      <c r="L149" s="13">
        <v>3.16E-3</v>
      </c>
      <c r="M149" s="14"/>
      <c r="N149" s="14"/>
      <c r="O149" s="14"/>
      <c r="P149" s="14"/>
      <c r="Q149" s="14"/>
      <c r="R149" s="14"/>
      <c r="S149" s="14"/>
      <c r="T149" s="15">
        <f t="shared" si="13"/>
        <v>3.16E-3</v>
      </c>
      <c r="U149" s="14"/>
      <c r="V149" s="15" t="str">
        <f t="shared" si="14"/>
        <v/>
      </c>
      <c r="W149" s="16"/>
      <c r="X149" s="17" t="s">
        <v>460</v>
      </c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 spans="1:34" ht="15" customHeight="1">
      <c r="A150" s="19"/>
      <c r="B150" s="20"/>
      <c r="C150" s="20"/>
      <c r="D150" s="20"/>
      <c r="E150" s="20"/>
      <c r="F150" s="20"/>
      <c r="G150" s="20"/>
      <c r="H150" s="20"/>
      <c r="I150" s="20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2">
        <f>SUMIF($I$2:$I$149,TRUE(),T$2:T$149)</f>
        <v>1.0000500000000003</v>
      </c>
      <c r="U150" s="22">
        <f>SUMIF($I$2:$I$149,TRUE(),U$2:U$149)</f>
        <v>0</v>
      </c>
      <c r="V150" s="21"/>
      <c r="W150" s="20"/>
      <c r="X150" s="20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 spans="1:34" ht="15" hidden="1" customHeight="1">
      <c r="A151" s="18"/>
      <c r="B151" s="18"/>
      <c r="C151" s="18"/>
      <c r="D151" s="18"/>
      <c r="E151" s="18"/>
      <c r="F151" s="18"/>
      <c r="G151" s="18"/>
      <c r="H151" s="18"/>
      <c r="I151" s="23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5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 spans="1:34" ht="15" customHeight="1">
      <c r="A152" s="18"/>
      <c r="B152" s="18"/>
      <c r="C152" s="18"/>
      <c r="D152" s="18"/>
      <c r="E152" s="18"/>
      <c r="F152" s="18"/>
      <c r="G152" s="18"/>
      <c r="H152" s="18"/>
      <c r="I152" s="23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5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 spans="1:34" ht="15" customHeight="1">
      <c r="A153" s="18"/>
      <c r="B153" s="18"/>
      <c r="C153" s="18"/>
      <c r="D153" s="18"/>
      <c r="E153" s="18"/>
      <c r="F153" s="18"/>
      <c r="G153" s="18"/>
      <c r="H153" s="18"/>
      <c r="I153" s="23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5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 spans="1:34" ht="15" customHeight="1">
      <c r="A154" s="18"/>
      <c r="B154" s="18"/>
      <c r="C154" s="18"/>
      <c r="D154" s="18"/>
      <c r="E154" s="18"/>
      <c r="F154" s="18"/>
      <c r="G154" s="18"/>
      <c r="H154" s="18"/>
      <c r="I154" s="23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5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 spans="1:34" ht="15" customHeight="1">
      <c r="A155" s="18"/>
      <c r="B155" s="18"/>
      <c r="C155" s="18"/>
      <c r="D155" s="18"/>
      <c r="E155" s="18"/>
      <c r="F155" s="18"/>
      <c r="G155" s="18"/>
      <c r="H155" s="18"/>
      <c r="I155" s="23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5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 spans="1:34" ht="15" customHeight="1">
      <c r="A156" s="18"/>
      <c r="B156" s="18"/>
      <c r="C156" s="18"/>
      <c r="D156" s="18"/>
      <c r="E156" s="18"/>
      <c r="F156" s="18"/>
      <c r="G156" s="18"/>
      <c r="H156" s="18"/>
      <c r="I156" s="23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5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 spans="1:34" ht="15" customHeight="1">
      <c r="A157" s="18"/>
      <c r="B157" s="18"/>
      <c r="C157" s="18"/>
      <c r="D157" s="18"/>
      <c r="E157" s="18"/>
      <c r="F157" s="18"/>
      <c r="G157" s="18"/>
      <c r="H157" s="18"/>
      <c r="I157" s="23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5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 spans="1:34" ht="15" customHeight="1">
      <c r="A158" s="18"/>
      <c r="B158" s="18"/>
      <c r="C158" s="18"/>
      <c r="D158" s="18"/>
      <c r="E158" s="18"/>
      <c r="F158" s="18"/>
      <c r="G158" s="18"/>
      <c r="H158" s="18"/>
      <c r="I158" s="23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5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 spans="1:34" ht="15" customHeight="1">
      <c r="A159" s="18"/>
      <c r="B159" s="18"/>
      <c r="C159" s="18"/>
      <c r="D159" s="18"/>
      <c r="E159" s="18"/>
      <c r="F159" s="18"/>
      <c r="G159" s="18"/>
      <c r="H159" s="18"/>
      <c r="I159" s="23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5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 spans="1:34" ht="15" customHeight="1">
      <c r="A160" s="18"/>
      <c r="B160" s="18"/>
      <c r="C160" s="18"/>
      <c r="D160" s="18"/>
      <c r="E160" s="18"/>
      <c r="F160" s="18"/>
      <c r="G160" s="18"/>
      <c r="H160" s="18"/>
      <c r="I160" s="23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5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 spans="1:34" ht="15" customHeight="1">
      <c r="A161" s="18"/>
      <c r="B161" s="18"/>
      <c r="C161" s="18"/>
      <c r="D161" s="18"/>
      <c r="E161" s="18"/>
      <c r="F161" s="18"/>
      <c r="G161" s="18"/>
      <c r="H161" s="18"/>
      <c r="I161" s="23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5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 spans="1:34" ht="15" customHeight="1">
      <c r="A162" s="18"/>
      <c r="B162" s="18"/>
      <c r="C162" s="18"/>
      <c r="D162" s="18"/>
      <c r="E162" s="18"/>
      <c r="F162" s="18"/>
      <c r="G162" s="18"/>
      <c r="H162" s="18"/>
      <c r="I162" s="23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5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 spans="1:34" ht="15" customHeight="1">
      <c r="A163" s="18"/>
      <c r="B163" s="18"/>
      <c r="C163" s="18"/>
      <c r="D163" s="18"/>
      <c r="E163" s="18"/>
      <c r="F163" s="18"/>
      <c r="G163" s="18"/>
      <c r="H163" s="18"/>
      <c r="I163" s="23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5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 spans="1:34" ht="15" customHeight="1">
      <c r="A164" s="18"/>
      <c r="B164" s="18"/>
      <c r="C164" s="18"/>
      <c r="D164" s="18"/>
      <c r="E164" s="18"/>
      <c r="F164" s="18"/>
      <c r="G164" s="18"/>
      <c r="H164" s="18"/>
      <c r="I164" s="23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5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spans="1:34" ht="15" customHeight="1">
      <c r="A165" s="18"/>
      <c r="B165" s="18"/>
      <c r="C165" s="18"/>
      <c r="D165" s="18"/>
      <c r="E165" s="18"/>
      <c r="F165" s="18"/>
      <c r="G165" s="18"/>
      <c r="H165" s="18"/>
      <c r="I165" s="23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5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 spans="1:34" ht="15" customHeight="1">
      <c r="A166" s="18"/>
      <c r="B166" s="18"/>
      <c r="C166" s="18"/>
      <c r="D166" s="18"/>
      <c r="E166" s="18"/>
      <c r="F166" s="18"/>
      <c r="G166" s="18"/>
      <c r="H166" s="18"/>
      <c r="I166" s="23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5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 spans="1:34" ht="15" customHeight="1">
      <c r="A167" s="18"/>
      <c r="B167" s="18"/>
      <c r="C167" s="18"/>
      <c r="D167" s="18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5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 spans="1:34" ht="15" customHeight="1">
      <c r="A168" s="18"/>
      <c r="B168" s="18"/>
      <c r="C168" s="18"/>
      <c r="D168" s="18"/>
      <c r="E168" s="18"/>
      <c r="F168" s="18"/>
      <c r="G168" s="18"/>
      <c r="H168" s="18"/>
      <c r="I168" s="23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5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 spans="1:34" ht="15" customHeight="1">
      <c r="A169" s="18"/>
      <c r="B169" s="18"/>
      <c r="C169" s="18"/>
      <c r="D169" s="18"/>
      <c r="E169" s="18"/>
      <c r="F169" s="18"/>
      <c r="G169" s="18"/>
      <c r="H169" s="18"/>
      <c r="I169" s="23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5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 spans="1:34" ht="15" customHeight="1">
      <c r="A170" s="18"/>
      <c r="B170" s="18"/>
      <c r="C170" s="18"/>
      <c r="D170" s="18"/>
      <c r="E170" s="18"/>
      <c r="F170" s="18"/>
      <c r="G170" s="18"/>
      <c r="H170" s="18"/>
      <c r="I170" s="23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5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 spans="1:34" ht="15" customHeight="1">
      <c r="A171" s="18"/>
      <c r="B171" s="18"/>
      <c r="C171" s="18"/>
      <c r="D171" s="18"/>
      <c r="E171" s="18"/>
      <c r="F171" s="18"/>
      <c r="G171" s="18"/>
      <c r="H171" s="18"/>
      <c r="I171" s="23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5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 spans="1:34" ht="15" customHeight="1">
      <c r="A172" s="18"/>
      <c r="B172" s="18"/>
      <c r="C172" s="18"/>
      <c r="D172" s="18"/>
      <c r="E172" s="18"/>
      <c r="F172" s="18"/>
      <c r="G172" s="18"/>
      <c r="H172" s="18"/>
      <c r="I172" s="23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5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 spans="1:34" ht="15" customHeight="1">
      <c r="A173" s="18"/>
      <c r="B173" s="18"/>
      <c r="C173" s="18"/>
      <c r="D173" s="18"/>
      <c r="E173" s="18"/>
      <c r="F173" s="18"/>
      <c r="G173" s="18"/>
      <c r="H173" s="18"/>
      <c r="I173" s="23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5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 spans="1:34" ht="15" customHeight="1">
      <c r="A174" s="18"/>
      <c r="B174" s="18"/>
      <c r="C174" s="18"/>
      <c r="D174" s="18"/>
      <c r="E174" s="18"/>
      <c r="F174" s="18"/>
      <c r="G174" s="18"/>
      <c r="H174" s="18"/>
      <c r="I174" s="23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5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 spans="1:34" ht="15" customHeight="1">
      <c r="A175" s="18"/>
      <c r="B175" s="18"/>
      <c r="C175" s="18"/>
      <c r="D175" s="18"/>
      <c r="E175" s="18"/>
      <c r="F175" s="18"/>
      <c r="G175" s="18"/>
      <c r="H175" s="18"/>
      <c r="I175" s="23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5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 spans="1:34" ht="15" customHeight="1">
      <c r="A176" s="18"/>
      <c r="B176" s="18"/>
      <c r="C176" s="18"/>
      <c r="D176" s="18"/>
      <c r="E176" s="18"/>
      <c r="F176" s="18"/>
      <c r="G176" s="18"/>
      <c r="H176" s="18"/>
      <c r="I176" s="23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5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spans="1:34" ht="15" customHeight="1">
      <c r="A177" s="18"/>
      <c r="B177" s="18"/>
      <c r="C177" s="18"/>
      <c r="D177" s="18"/>
      <c r="E177" s="18"/>
      <c r="F177" s="18"/>
      <c r="G177" s="18"/>
      <c r="H177" s="18"/>
      <c r="I177" s="23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5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 spans="1:34" ht="15" customHeight="1">
      <c r="A178" s="18"/>
      <c r="B178" s="18"/>
      <c r="C178" s="18"/>
      <c r="D178" s="18"/>
      <c r="E178" s="18"/>
      <c r="F178" s="18"/>
      <c r="G178" s="18"/>
      <c r="H178" s="18"/>
      <c r="I178" s="23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5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 spans="1:34" ht="15" customHeight="1">
      <c r="A179" s="18"/>
      <c r="B179" s="18"/>
      <c r="C179" s="18"/>
      <c r="D179" s="18"/>
      <c r="E179" s="18"/>
      <c r="F179" s="18"/>
      <c r="G179" s="18"/>
      <c r="H179" s="18"/>
      <c r="I179" s="23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5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 spans="1:34" ht="15" customHeight="1">
      <c r="A180" s="18"/>
      <c r="B180" s="18"/>
      <c r="C180" s="18"/>
      <c r="D180" s="18"/>
      <c r="E180" s="18"/>
      <c r="F180" s="18"/>
      <c r="G180" s="18"/>
      <c r="H180" s="18"/>
      <c r="I180" s="23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5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 spans="1:34" ht="15" customHeight="1">
      <c r="A181" s="18"/>
      <c r="B181" s="18"/>
      <c r="C181" s="18"/>
      <c r="D181" s="18"/>
      <c r="E181" s="18"/>
      <c r="F181" s="18"/>
      <c r="G181" s="18"/>
      <c r="H181" s="18"/>
      <c r="I181" s="23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5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 spans="1:34" ht="15" customHeight="1">
      <c r="A182" s="18"/>
      <c r="B182" s="18"/>
      <c r="C182" s="18"/>
      <c r="D182" s="18"/>
      <c r="E182" s="18"/>
      <c r="F182" s="18"/>
      <c r="G182" s="18"/>
      <c r="H182" s="18"/>
      <c r="I182" s="23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5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 spans="1:34" ht="15" customHeight="1">
      <c r="A183" s="18"/>
      <c r="B183" s="18"/>
      <c r="C183" s="18"/>
      <c r="D183" s="18"/>
      <c r="E183" s="18"/>
      <c r="F183" s="18"/>
      <c r="G183" s="18"/>
      <c r="H183" s="18"/>
      <c r="I183" s="23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5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 spans="1:34" ht="15" customHeight="1">
      <c r="A184" s="18"/>
      <c r="B184" s="18"/>
      <c r="C184" s="18"/>
      <c r="D184" s="18"/>
      <c r="E184" s="18"/>
      <c r="F184" s="18"/>
      <c r="G184" s="18"/>
      <c r="H184" s="18"/>
      <c r="I184" s="23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5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 spans="1:34" ht="15" customHeight="1">
      <c r="A185" s="18"/>
      <c r="B185" s="18"/>
      <c r="C185" s="18"/>
      <c r="D185" s="18"/>
      <c r="E185" s="18"/>
      <c r="F185" s="18"/>
      <c r="G185" s="18"/>
      <c r="H185" s="18"/>
      <c r="I185" s="23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5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 spans="1:34" ht="15" customHeight="1">
      <c r="A186" s="18"/>
      <c r="B186" s="18"/>
      <c r="C186" s="18"/>
      <c r="D186" s="18"/>
      <c r="E186" s="18"/>
      <c r="F186" s="18"/>
      <c r="G186" s="18"/>
      <c r="H186" s="18"/>
      <c r="I186" s="23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5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 spans="1:34" ht="15" customHeight="1">
      <c r="A187" s="18"/>
      <c r="B187" s="18"/>
      <c r="C187" s="18"/>
      <c r="D187" s="18"/>
      <c r="E187" s="18"/>
      <c r="F187" s="18"/>
      <c r="G187" s="18"/>
      <c r="H187" s="18"/>
      <c r="I187" s="23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5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 spans="1:34" ht="15" customHeight="1">
      <c r="A188" s="18"/>
      <c r="B188" s="18"/>
      <c r="C188" s="18"/>
      <c r="D188" s="18"/>
      <c r="E188" s="18"/>
      <c r="F188" s="18"/>
      <c r="G188" s="18"/>
      <c r="H188" s="18"/>
      <c r="I188" s="23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5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 spans="1:34" ht="15" customHeight="1">
      <c r="A189" s="18"/>
      <c r="B189" s="18"/>
      <c r="C189" s="18"/>
      <c r="D189" s="18"/>
      <c r="E189" s="18"/>
      <c r="F189" s="18"/>
      <c r="G189" s="18"/>
      <c r="H189" s="18"/>
      <c r="I189" s="23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5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 spans="1:34" ht="15" customHeight="1">
      <c r="A190" s="18"/>
      <c r="B190" s="18"/>
      <c r="C190" s="18"/>
      <c r="D190" s="18"/>
      <c r="E190" s="18"/>
      <c r="F190" s="18"/>
      <c r="G190" s="18"/>
      <c r="H190" s="18"/>
      <c r="I190" s="23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5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 spans="1:34" ht="15" customHeight="1">
      <c r="A191" s="18"/>
      <c r="B191" s="18"/>
      <c r="C191" s="18"/>
      <c r="D191" s="18"/>
      <c r="E191" s="18"/>
      <c r="F191" s="18"/>
      <c r="G191" s="18"/>
      <c r="H191" s="18"/>
      <c r="I191" s="23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5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 spans="1:34" ht="15" customHeight="1">
      <c r="A192" s="18"/>
      <c r="B192" s="18"/>
      <c r="C192" s="18"/>
      <c r="D192" s="18"/>
      <c r="E192" s="18"/>
      <c r="F192" s="18"/>
      <c r="G192" s="18"/>
      <c r="H192" s="18"/>
      <c r="I192" s="23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5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 spans="1:34" ht="15" customHeight="1">
      <c r="A193" s="18"/>
      <c r="B193" s="18"/>
      <c r="C193" s="18"/>
      <c r="D193" s="18"/>
      <c r="E193" s="18"/>
      <c r="F193" s="18"/>
      <c r="G193" s="18"/>
      <c r="H193" s="18"/>
      <c r="I193" s="23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5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 spans="1:34" ht="15" customHeight="1">
      <c r="A194" s="18"/>
      <c r="B194" s="18"/>
      <c r="C194" s="18"/>
      <c r="D194" s="18"/>
      <c r="E194" s="18"/>
      <c r="F194" s="18"/>
      <c r="G194" s="18"/>
      <c r="H194" s="18"/>
      <c r="I194" s="23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5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 spans="1:34" ht="15" customHeight="1">
      <c r="A195" s="18"/>
      <c r="B195" s="18"/>
      <c r="C195" s="18"/>
      <c r="D195" s="18"/>
      <c r="E195" s="18"/>
      <c r="F195" s="18"/>
      <c r="G195" s="18"/>
      <c r="H195" s="18"/>
      <c r="I195" s="23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5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 spans="1:34" ht="15" customHeight="1">
      <c r="A196" s="18"/>
      <c r="B196" s="18"/>
      <c r="C196" s="18"/>
      <c r="D196" s="18"/>
      <c r="E196" s="18"/>
      <c r="F196" s="18"/>
      <c r="G196" s="18"/>
      <c r="H196" s="18"/>
      <c r="I196" s="23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5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 spans="1:34" ht="15" customHeight="1">
      <c r="A197" s="18"/>
      <c r="B197" s="18"/>
      <c r="C197" s="18"/>
      <c r="D197" s="18"/>
      <c r="E197" s="18"/>
      <c r="F197" s="18"/>
      <c r="G197" s="18"/>
      <c r="H197" s="18"/>
      <c r="I197" s="23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5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 spans="1:34" ht="15" customHeight="1">
      <c r="A198" s="18"/>
      <c r="B198" s="18"/>
      <c r="C198" s="18"/>
      <c r="D198" s="18"/>
      <c r="E198" s="18"/>
      <c r="F198" s="18"/>
      <c r="G198" s="18"/>
      <c r="H198" s="18"/>
      <c r="I198" s="23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5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 spans="1:34" ht="15" customHeight="1">
      <c r="A199" s="18"/>
      <c r="B199" s="18"/>
      <c r="C199" s="18"/>
      <c r="D199" s="18"/>
      <c r="E199" s="18"/>
      <c r="F199" s="18"/>
      <c r="G199" s="18"/>
      <c r="H199" s="18"/>
      <c r="I199" s="23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5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 spans="1:34" ht="15" customHeight="1">
      <c r="A200" s="18"/>
      <c r="B200" s="18"/>
      <c r="C200" s="18"/>
      <c r="D200" s="18"/>
      <c r="E200" s="18"/>
      <c r="F200" s="18"/>
      <c r="G200" s="18"/>
      <c r="H200" s="18"/>
      <c r="I200" s="23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5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spans="1:34" ht="15" customHeight="1">
      <c r="A201" s="18"/>
      <c r="B201" s="18"/>
      <c r="C201" s="18"/>
      <c r="D201" s="18"/>
      <c r="E201" s="18"/>
      <c r="F201" s="18"/>
      <c r="G201" s="18"/>
      <c r="H201" s="18"/>
      <c r="I201" s="23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5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 spans="1:34" ht="15" customHeight="1">
      <c r="A202" s="18"/>
      <c r="B202" s="18"/>
      <c r="C202" s="18"/>
      <c r="D202" s="18"/>
      <c r="E202" s="18"/>
      <c r="F202" s="18"/>
      <c r="G202" s="18"/>
      <c r="H202" s="18"/>
      <c r="I202" s="23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5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 spans="1:34" ht="15" customHeight="1">
      <c r="A203" s="18"/>
      <c r="B203" s="18"/>
      <c r="C203" s="18"/>
      <c r="D203" s="18"/>
      <c r="E203" s="18"/>
      <c r="F203" s="18"/>
      <c r="G203" s="18"/>
      <c r="H203" s="18"/>
      <c r="I203" s="23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5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 spans="1:34" ht="15" customHeight="1">
      <c r="A204" s="18"/>
      <c r="B204" s="18"/>
      <c r="C204" s="18"/>
      <c r="D204" s="18"/>
      <c r="E204" s="18"/>
      <c r="F204" s="18"/>
      <c r="G204" s="18"/>
      <c r="H204" s="18"/>
      <c r="I204" s="23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5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 spans="1:34" ht="15" customHeight="1">
      <c r="A205" s="18"/>
      <c r="B205" s="18"/>
      <c r="C205" s="18"/>
      <c r="D205" s="18"/>
      <c r="E205" s="18"/>
      <c r="F205" s="18"/>
      <c r="G205" s="18"/>
      <c r="H205" s="18"/>
      <c r="I205" s="23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5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 spans="1:34" ht="15" customHeight="1">
      <c r="A206" s="18"/>
      <c r="B206" s="18"/>
      <c r="C206" s="18"/>
      <c r="D206" s="18"/>
      <c r="E206" s="18"/>
      <c r="F206" s="18"/>
      <c r="G206" s="18"/>
      <c r="H206" s="18"/>
      <c r="I206" s="23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5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 spans="1:34" ht="15" customHeight="1">
      <c r="A207" s="18"/>
      <c r="B207" s="18"/>
      <c r="C207" s="18"/>
      <c r="D207" s="18"/>
      <c r="E207" s="18"/>
      <c r="F207" s="18"/>
      <c r="G207" s="18"/>
      <c r="H207" s="18"/>
      <c r="I207" s="23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5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 spans="1:34" ht="15" customHeight="1">
      <c r="A208" s="18"/>
      <c r="B208" s="18"/>
      <c r="C208" s="18"/>
      <c r="D208" s="18"/>
      <c r="E208" s="18"/>
      <c r="F208" s="18"/>
      <c r="G208" s="18"/>
      <c r="H208" s="18"/>
      <c r="I208" s="23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5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 spans="1:34" ht="15" customHeight="1">
      <c r="A209" s="18"/>
      <c r="B209" s="18"/>
      <c r="C209" s="18"/>
      <c r="D209" s="18"/>
      <c r="E209" s="18"/>
      <c r="F209" s="18"/>
      <c r="G209" s="18"/>
      <c r="H209" s="18"/>
      <c r="I209" s="23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5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 spans="1:34" ht="15" customHeight="1">
      <c r="A210" s="18"/>
      <c r="B210" s="18"/>
      <c r="C210" s="18"/>
      <c r="D210" s="18"/>
      <c r="E210" s="18"/>
      <c r="F210" s="18"/>
      <c r="G210" s="18"/>
      <c r="H210" s="18"/>
      <c r="I210" s="23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5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 spans="1:34" ht="15" customHeight="1">
      <c r="A211" s="18"/>
      <c r="B211" s="18"/>
      <c r="C211" s="18"/>
      <c r="D211" s="18"/>
      <c r="E211" s="18"/>
      <c r="F211" s="18"/>
      <c r="G211" s="18"/>
      <c r="H211" s="18"/>
      <c r="I211" s="23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5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 spans="1:34" ht="15" customHeight="1">
      <c r="A212" s="18"/>
      <c r="B212" s="18"/>
      <c r="C212" s="18"/>
      <c r="D212" s="18"/>
      <c r="E212" s="18"/>
      <c r="F212" s="18"/>
      <c r="G212" s="18"/>
      <c r="H212" s="18"/>
      <c r="I212" s="23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5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 spans="1:34" ht="15" customHeight="1">
      <c r="A213" s="18"/>
      <c r="B213" s="18"/>
      <c r="C213" s="18"/>
      <c r="D213" s="18"/>
      <c r="E213" s="18"/>
      <c r="F213" s="18"/>
      <c r="G213" s="18"/>
      <c r="H213" s="18"/>
      <c r="I213" s="23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5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 spans="1:34" ht="15" customHeight="1">
      <c r="A214" s="18"/>
      <c r="B214" s="18"/>
      <c r="C214" s="18"/>
      <c r="D214" s="18"/>
      <c r="E214" s="18"/>
      <c r="F214" s="18"/>
      <c r="G214" s="18"/>
      <c r="H214" s="18"/>
      <c r="I214" s="23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5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 spans="1:34" ht="15" customHeight="1">
      <c r="A215" s="18"/>
      <c r="B215" s="18"/>
      <c r="C215" s="18"/>
      <c r="D215" s="18"/>
      <c r="E215" s="18"/>
      <c r="F215" s="18"/>
      <c r="G215" s="18"/>
      <c r="H215" s="18"/>
      <c r="I215" s="23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5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 spans="1:34" ht="15" customHeight="1">
      <c r="A216" s="18"/>
      <c r="B216" s="18"/>
      <c r="C216" s="18"/>
      <c r="D216" s="18"/>
      <c r="E216" s="18"/>
      <c r="F216" s="18"/>
      <c r="G216" s="18"/>
      <c r="H216" s="18"/>
      <c r="I216" s="23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5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</row>
    <row r="217" spans="1:34" ht="15" customHeight="1">
      <c r="A217" s="18"/>
      <c r="B217" s="18"/>
      <c r="C217" s="18"/>
      <c r="D217" s="18"/>
      <c r="E217" s="18"/>
      <c r="F217" s="18"/>
      <c r="G217" s="18"/>
      <c r="H217" s="18"/>
      <c r="I217" s="23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5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</row>
    <row r="218" spans="1:34" ht="15" customHeight="1">
      <c r="A218" s="18"/>
      <c r="B218" s="18"/>
      <c r="C218" s="18"/>
      <c r="D218" s="18"/>
      <c r="E218" s="18"/>
      <c r="F218" s="18"/>
      <c r="G218" s="18"/>
      <c r="H218" s="18"/>
      <c r="I218" s="23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5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</row>
    <row r="219" spans="1:34" ht="15" customHeight="1">
      <c r="A219" s="18"/>
      <c r="B219" s="18"/>
      <c r="C219" s="18"/>
      <c r="D219" s="18"/>
      <c r="E219" s="18"/>
      <c r="F219" s="18"/>
      <c r="G219" s="18"/>
      <c r="H219" s="18"/>
      <c r="I219" s="23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5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</row>
  </sheetData>
  <sheetProtection sheet="1" objects="1" scenarios="1" formatCells="0" formatColumns="0" formatRows="0" sort="0" autoFilter="0"/>
  <autoFilter ref="A1:X1" xr:uid="{00000000-0009-0000-0000-000000000000}"/>
  <conditionalFormatting sqref="E2:E149">
    <cfRule type="expression" dxfId="2" priority="2">
      <formula>AND(E2&lt;&gt;"", COUNTIF(E$2:E$149, E2)=2)</formula>
    </cfRule>
    <cfRule type="expression" dxfId="1" priority="3">
      <formula>AND(E2&lt;&gt;"", COUNTIF(E$2:E$149, E2)&gt;=3)</formula>
    </cfRule>
  </conditionalFormatting>
  <conditionalFormatting sqref="V2:V149">
    <cfRule type="expression" dxfId="0" priority="4">
      <formula>AND(V2&lt;&gt;"",ABS(V2)&gt;0.000005)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cascade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Ярослав Вонсович</cp:lastModifiedBy>
  <cp:revision>0</cp:revision>
  <dcterms:created xsi:type="dcterms:W3CDTF">2026-09-08T13:23:06Z</dcterms:created>
  <dcterms:modified xsi:type="dcterms:W3CDTF">2026-09-08T19:40:03Z</dcterms:modified>
  <dc:language>en-US</dc:language>
</cp:coreProperties>
</file>