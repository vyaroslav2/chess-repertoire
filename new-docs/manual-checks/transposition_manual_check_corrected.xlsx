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57fae4ea8fa482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ascade check" sheetId="1" r:id="R1c7812aa8aa546e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.000%"/>
    <x:numFmt numFmtId="201" formatCode="0"/>
  </x:numFmts>
  <x:fonts count="2">
    <x:font>
      <x:sz val="11"/>
      <x:name val="Carlito"/>
    </x:font>
    <x:font>
      <x:b/>
      <x:sz val="11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1F2937"/>
      </x:patternFill>
    </x:fill>
    <x:fill>
      <x:patternFill patternType="solid">
        <x:fgColor rgb="FFF8FAFC"/>
      </x:patternFill>
    </x:fill>
  </x:fills>
  <x:borders count="2">
    <x:border/>
    <x:border/>
  </x:borders>
  <x:cellStyleXfs count="1">
    <x:xf numFmtId="0" fontId="0" fillId="0" borderId="0"/>
  </x:cellStyleXfs>
  <x:cellXfs count="40">
    <x:xf numFmtId="0" fontId="0" fillId="0" borderId="0" xfId="0"/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1" xfId="0" applyNumberFormat="1" applyFont="1" applyFill="1" applyBorder="1" applyAlignment="1">
      <x:alignment vertical="center"/>
    </x:xf>
    <x:xf numFmtId="0" fontId="0" fillId="0" borderId="1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0" xfId="0" applyNumberFormat="1" applyFont="1" applyFill="1" applyBorder="1" applyAlignment="1">
      <x:alignment vertical="center" wrapText="0"/>
    </x:xf>
    <x:xf numFmtId="0" fontId="0" fillId="0" borderId="1" xfId="0" applyNumberFormat="1" applyFont="1" applyFill="1" applyBorder="1" applyAlignment="1">
      <x:alignment vertical="center" wrapText="0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0" fillId="0" borderId="1" xfId="0" applyNumberFormat="1" applyFont="1" applyFill="1" applyBorder="1" applyAlignment="1">
      <x:alignment vertical="center"/>
    </x:xf>
    <x:xf numFmtId="201" fontId="0" fillId="0" borderId="0" xfId="0" applyNumberFormat="1" applyFont="1" applyFill="1" applyBorder="1" applyAlignment="1">
      <x:alignment vertical="center"/>
    </x:xf>
    <x:xf numFmtId="201" fontId="0" fillId="0" borderId="1" xfId="0" applyNumberFormat="1" applyFont="1" applyFill="1" applyBorder="1" applyAlignment="1">
      <x:alignment vertical="center"/>
    </x:xf>
    <x:xf numFmtId="200" fontId="0" fillId="3" borderId="0" xfId="0" applyNumberFormat="1" applyFont="1" applyFill="1" applyBorder="1" applyAlignment="1">
      <x:alignment vertical="center"/>
    </x:xf>
    <x:xf numFmtId="200" fontId="0" fillId="3" borderId="1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 applyAlignment="1">
      <x:alignment vertical="center" wrapText="1"/>
    </x:xf>
    <x:xf numFmtId="0" fontId="0" fillId="3" borderId="1" xfId="0" applyNumberFormat="1" applyFont="1" applyFill="1" applyBorder="1" applyAlignment="1">
      <x:alignment vertical="center" wrapText="1"/>
    </x:xf>
    <x:xf numFmtId="201" fontId="0" fillId="0" borderId="0" xfId="0" applyNumberFormat="1" applyFont="1" applyFill="1" applyBorder="1" applyAlignment="1">
      <x:alignment horizontal="left" vertical="center"/>
    </x:xf>
    <x:xf numFmtId="0" fontId="0" fillId="0" borderId="0" xfId="0" applyNumberFormat="1" applyFont="1" applyFill="1" applyBorder="1" applyAlignment="1">
      <x:alignment horizontal="left" vertical="center" wrapText="0"/>
    </x:xf>
    <x:xf numFmtId="201" fontId="0" fillId="0" borderId="1" xfId="0" applyNumberFormat="1" applyFont="1" applyFill="1" applyBorder="1" applyAlignment="1">
      <x:alignment horizontal="left" vertical="center"/>
    </x:xf>
    <x:xf numFmtId="0" fontId="0" fillId="0" borderId="1" xfId="0" applyNumberFormat="1" applyFont="1" applyFill="1" applyBorder="1" applyAlignment="1">
      <x:alignment horizontal="left" vertical="center" wrapText="0"/>
    </x:xf>
    <x:xf numFmtId="201" fontId="0" fillId="0" borderId="0" xfId="0" applyNumberFormat="1" applyFont="1" applyFill="1" applyBorder="1" applyAlignment="1">
      <x:alignment horizontal="center" vertical="center"/>
    </x:xf>
    <x:xf numFmtId="0" fontId="0" fillId="0" borderId="0" xfId="0" applyNumberFormat="1" applyFont="1" applyFill="1" applyBorder="1" applyAlignment="1">
      <x:alignment horizontal="center"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201" fontId="0" fillId="0" borderId="1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 applyAlignment="1">
      <x:alignment horizontal="center"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200" fontId="0" fillId="0" borderId="0" xfId="0" applyNumberFormat="1" applyFont="1" applyFill="1" applyBorder="1" applyAlignment="1">
      <x:alignment horizontal="right" vertical="center"/>
    </x:xf>
    <x:xf numFmtId="200" fontId="0" fillId="3" borderId="0" xfId="0" applyNumberFormat="1" applyFont="1" applyFill="1" applyBorder="1" applyAlignment="1">
      <x:alignment horizontal="right" vertical="center"/>
    </x:xf>
  </x:cellXfs>
  <x:cellStyles count="1">
    <x:cellStyle name="Normal" xfId="0"/>
  </x:cellStyles>
  <x:dxfs count="3">
    <x:dxf>
      <x:fill>
        <x:patternFill>
          <x:bgColor rgb="FFFFF2CC"/>
        </x:patternFill>
      </x:fill>
    </x:dxf>
    <x:dxf>
      <x:font>
        <x:b/>
      </x:font>
      <x:fill>
        <x:patternFill>
          <x:bgColor rgb="FFF4CCCC"/>
        </x:patternFill>
      </x:fill>
    </x:dxf>
    <x:dxf>
      <x:font>
        <x:b/>
        <x:color rgb="FFB91C1C"/>
      </x:font>
      <x:fill>
        <x:patternFill>
          <x:bgColor rgb="FFFCE8E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94563ef955d4930" /><Relationship Type="http://schemas.openxmlformats.org/officeDocument/2006/relationships/theme" Target="/xl/theme/theme1.xml" Id="R70a55f52c43d4977" /><Relationship Type="http://schemas.microsoft.com/office/2022/11/relationships/FeaturePropertyBag" Target="/xl/featurePropertyBag/featurePropertyBag.xml" Id="Rc707d912f2864743" /><Relationship Type="http://schemas.openxmlformats.org/officeDocument/2006/relationships/sharedStrings" Target="/xl/sharedStrings.xml" Id="R6a675e043ab34e51" /><Relationship Type="http://schemas.openxmlformats.org/officeDocument/2006/relationships/worksheet" Target="/xl/worksheets/sheet1.xml" Id="R1c7812aa8aa546e8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7" hidden="0" customWidth="1"/>
    <x:col min="2" max="2" width="7" hidden="0" customWidth="1"/>
    <x:col min="3" max="3" width="16" hidden="0" customWidth="1"/>
    <x:col min="4" max="4" width="42" hidden="0" customWidth="1"/>
    <x:col min="5" max="5" width="12" hidden="0" customWidth="1"/>
    <x:col min="6" max="6" width="11" hidden="0" customWidth="1"/>
    <x:col min="7" max="7" width="15" hidden="0" customWidth="1"/>
    <x:col min="8" max="8" width="11" hidden="0" customWidth="1"/>
    <x:col min="9" max="9" width="9" hidden="0" customWidth="1"/>
    <x:col min="10" max="10" width="11" hidden="0" customWidth="1"/>
    <x:col min="11" max="11" width="11" hidden="0" customWidth="1"/>
    <x:col min="12" max="12" width="15" hidden="0" customWidth="1"/>
    <x:col min="13" max="13" width="10" hidden="0" customWidth="1"/>
    <x:col min="14" max="14" width="10" hidden="0" customWidth="1"/>
    <x:col min="15" max="15" width="10" hidden="0" customWidth="1"/>
    <x:col min="16" max="16" width="10" hidden="0" customWidth="1"/>
    <x:col min="17" max="17" width="10" hidden="0" customWidth="1"/>
    <x:col min="18" max="18" width="10" hidden="0" customWidth="1"/>
    <x:col min="19" max="19" width="10" hidden="0" customWidth="1"/>
    <x:col min="20" max="20" width="13" hidden="0" customWidth="1"/>
    <x:col min="21" max="21" width="12" hidden="0" customWidth="1"/>
    <x:col min="22" max="22" width="11" hidden="0" customWidth="1"/>
    <x:col min="23" max="23" width="24" hidden="0" customWidth="1"/>
  </x:cols>
  <x:sheetData>
    <x:row r="1" ht="20" customHeight="1">
      <x:c r="A1" t="str">
        <x:v>row</x:v>
      </x:c>
      <x:c r="B1" t="str">
        <x:v>depth</x:v>
      </x:c>
      <x:c r="C1" t="str">
        <x:v>tree</x:v>
      </x:c>
      <x:c r="D1" t="str">
        <x:v>path</x:v>
      </x:c>
      <x:c r="E1" t="str">
        <x:v>fen</x:v>
      </x:c>
      <x:c r="F1" t="str">
        <x:v>owner row</x:v>
      </x:c>
      <x:c r="G1" t="str">
        <x:v>transposition #</x:v>
      </x:c>
      <x:c r="H1" t="str">
        <x:v>parent row</x:v>
      </x:c>
      <x:c r="I1" t="str">
        <x:v>ending?</x:v>
      </x:c>
      <x:c r="J1" t="str">
        <x:v>moveProb</x:v>
      </x:c>
      <x:c r="K1" t="str">
        <x:v>routeProb</x:v>
      </x:c>
      <x:c r="L1" t="str">
        <x:v>baseline cumProb</x:v>
      </x:c>
      <x:c r="M1" t="str">
        <x:v>TR01</x:v>
      </x:c>
      <x:c r="N1" t="str">
        <x:v>TR02</x:v>
      </x:c>
      <x:c r="O1" t="str">
        <x:v>TR03</x:v>
      </x:c>
      <x:c r="P1" t="str">
        <x:v>TR04</x:v>
      </x:c>
      <x:c r="Q1" t="str">
        <x:v>TR05</x:v>
      </x:c>
      <x:c r="R1" t="str">
        <x:v>TR06</x:v>
      </x:c>
      <x:c r="S1" t="str">
        <x:v>TR07</x:v>
      </x:c>
      <x:c r="T1" t="str">
        <x:v>manual final</x:v>
      </x:c>
      <x:c r="U1" t="str">
        <x:v>script final</x:v>
      </x:c>
      <x:c r="V1" t="str">
        <x:v>diff</x:v>
      </x:c>
      <x:c r="W1" t="str">
        <x:v>notes</x:v>
      </x:c>
    </x:row>
    <x:row r="2">
      <x:c r="A2" s="30" t="n">
        <x:v>2</x:v>
      </x:c>
      <x:c r="B2" s="30" t="n">
        <x:v>1</x:v>
      </x:c>
      <x:c r="C2" s="31" t="str">
        <x:f>REPT(" ",B2)&amp;TRIM(RIGHT(SUBSTITUTE(D2," ",REPT(" ",99)),99))</x:f>
        <x:v> e4</x:v>
      </x:c>
      <x:c r="D2" s="18" t="str">
        <x:v>e4</x:v>
      </x:c>
      <x:c r="E2" s="18" t="str">
        <x:v>gre</x:v>
      </x:c>
      <x:c r="F2" s="34" t="str">
        <x:f>IF(COUNTIF($E$2:E2,E2)&gt;1,MATCH(E2,$E:$E,0),"")</x:f>
      </x:c>
      <x:c r="G2" s="34" t="str">
        <x:f>IF(F2="","",COUNTIF($F$2:F2,"&gt;0"))</x:f>
      </x:c>
      <x:c r="H2" s="34"/>
      <x:c r="I2" s="35" t="b">
        <x:v>0</x:v>
      </x:c>
      <x:c r="J2" s="38" t="n">
        <x:v>0.72288</x:v>
      </x:c>
      <x:c r="K2" s="38" t="n">
        <x:v>0.72288</x:v>
      </x:c>
      <x:c r="L2" s="38" t="n">
        <x:v>0.72288</x:v>
      </x:c>
      <x:c r="M2" s="39"/>
      <x:c r="N2" s="39"/>
      <x:c r="O2" s="39"/>
      <x:c r="P2" s="39"/>
      <x:c r="Q2" s="39"/>
      <x:c r="R2" s="39"/>
      <x:c r="S2" s="39"/>
      <x:c r="T2" s="38" t="n">
        <x:f>L2+SUM(M2:S2)</x:f>
        <x:v>0.72288</x:v>
      </x:c>
      <x:c r="U2" s="39"/>
      <x:c r="V2" s="38" t="str">
        <x:f>IF(U2="","",T2-U2)</x:f>
      </x:c>
      <x:c r="W2" s="28"/>
    </x:row>
    <x:row r="3">
      <x:c r="A3" s="30" t="n">
        <x:v>3</x:v>
      </x:c>
      <x:c r="B3" s="30" t="n">
        <x:v>2</x:v>
      </x:c>
      <x:c r="C3" s="31" t="str">
        <x:f>REPT(" ",B3)&amp;TRIM(RIGHT(SUBSTITUTE(D3," ",REPT(" ",99)),99))</x:f>
        <x:v>  d4</x:v>
      </x:c>
      <x:c r="D3" s="18" t="str">
        <x:v>e4 c6 d4</x:v>
      </x:c>
      <x:c r="E3" s="18" t="str">
        <x:v>spq</x:v>
      </x:c>
      <x:c r="F3" s="34" t="str">
        <x:f>IF(COUNTIF($E$2:E3,E3)&gt;1,MATCH(E3,$E:$E,0),"")</x:f>
      </x:c>
      <x:c r="G3" s="34" t="str">
        <x:f>IF(F3="","",COUNTIF($F$2:F3,"&gt;0"))</x:f>
      </x:c>
      <x:c r="H3" s="34" t="n">
        <x:v>2</x:v>
      </x:c>
      <x:c r="I3" s="35" t="b">
        <x:v>0</x:v>
      </x:c>
      <x:c r="J3" s="38" t="n">
        <x:v>0.56038</x:v>
      </x:c>
      <x:c r="K3" s="38" t="n">
        <x:v>0.40509</x:v>
      </x:c>
      <x:c r="L3" s="38" t="n">
        <x:v>0.40509</x:v>
      </x:c>
      <x:c r="M3" s="39"/>
      <x:c r="N3" s="39"/>
      <x:c r="O3" s="39"/>
      <x:c r="P3" s="39"/>
      <x:c r="Q3" s="39"/>
      <x:c r="R3" s="39"/>
      <x:c r="S3" s="39"/>
      <x:c r="T3" s="38" t="n">
        <x:f>L3+SUM(M3:S3)</x:f>
        <x:v>0.40509</x:v>
      </x:c>
      <x:c r="U3" s="39"/>
      <x:c r="V3" s="38" t="str">
        <x:f>IF(U3="","",T3-U3)</x:f>
      </x:c>
      <x:c r="W3" s="28"/>
    </x:row>
    <x:row r="4">
      <x:c r="A4" s="30" t="n">
        <x:v>4</x:v>
      </x:c>
      <x:c r="B4" s="30" t="n">
        <x:v>3</x:v>
      </x:c>
      <x:c r="C4" s="31" t="str">
        <x:f>REPT(" ",B4)&amp;TRIM(RIGHT(SUBSTITUTE(D4," ",REPT(" ",99)),99))</x:f>
        <x:v>   e5</x:v>
      </x:c>
      <x:c r="D4" s="18" t="str">
        <x:v>e4 c6 d4 d5 e5</x:v>
      </x:c>
      <x:c r="E4" s="18" t="str">
        <x:v>stb</x:v>
      </x:c>
      <x:c r="F4" s="34" t="str">
        <x:f>IF(COUNTIF($E$2:E4,E4)&gt;1,MATCH(E4,$E:$E,0),"")</x:f>
      </x:c>
      <x:c r="G4" s="34" t="str">
        <x:f>IF(F4="","",COUNTIF($F$2:F4,"&gt;0"))</x:f>
      </x:c>
      <x:c r="H4" s="34" t="n">
        <x:v>3</x:v>
      </x:c>
      <x:c r="I4" s="35" t="b">
        <x:v>0</x:v>
      </x:c>
      <x:c r="J4" s="38" t="n">
        <x:v>0.47415999999999997</x:v>
      </x:c>
      <x:c r="K4" s="38" t="n">
        <x:v>0.19207999999999997</x:v>
      </x:c>
      <x:c r="L4" s="38" t="n">
        <x:v>0.19207999999999997</x:v>
      </x:c>
      <x:c r="M4" s="39"/>
      <x:c r="N4" s="39"/>
      <x:c r="O4" s="39"/>
      <x:c r="P4" s="39"/>
      <x:c r="Q4" s="39"/>
      <x:c r="R4" s="39"/>
      <x:c r="S4" s="39"/>
      <x:c r="T4" s="38" t="n">
        <x:f>L4+SUM(M4:S4)</x:f>
        <x:v>0.19207999999999997</x:v>
      </x:c>
      <x:c r="U4" s="39"/>
      <x:c r="V4" s="38" t="str">
        <x:f>IF(U4="","",T4-U4)</x:f>
      </x:c>
      <x:c r="W4" s="28"/>
    </x:row>
    <x:row r="5">
      <x:c r="A5" s="30" t="n">
        <x:v>5</x:v>
      </x:c>
      <x:c r="B5" s="30" t="n">
        <x:v>4</x:v>
      </x:c>
      <x:c r="C5" s="31" t="str">
        <x:f>REPT(" ",B5)&amp;TRIM(RIGHT(SUBSTITUTE(D5," ",REPT(" ",99)),99))</x:f>
        <x:v>    Nf3</x:v>
      </x:c>
      <x:c r="D5" s="18" t="str">
        <x:v>e4 c6 d4 d5 e5 a6 Nf3</x:v>
      </x:c>
      <x:c r="E5" s="18" t="str">
        <x:v>qki</x:v>
      </x:c>
      <x:c r="F5" s="34" t="str">
        <x:f>IF(COUNTIF($E$2:E5,E5)&gt;1,MATCH(E5,$E:$E,0),"")</x:f>
      </x:c>
      <x:c r="G5" s="34" t="str">
        <x:f>IF(F5="","",COUNTIF($F$2:F5,"&gt;0"))</x:f>
      </x:c>
      <x:c r="H5" s="34" t="n">
        <x:v>4</x:v>
      </x:c>
      <x:c r="I5" s="35" t="b">
        <x:v>1</x:v>
      </x:c>
      <x:c r="J5" s="38" t="n">
        <x:v>0.43472</x:v>
      </x:c>
      <x:c r="K5" s="38" t="n">
        <x:v>0.08349999999999999</x:v>
      </x:c>
      <x:c r="L5" s="38" t="n">
        <x:v>0.08349999999999999</x:v>
      </x:c>
      <x:c r="M5" s="39"/>
      <x:c r="N5" s="39"/>
      <x:c r="O5" s="39"/>
      <x:c r="P5" s="39"/>
      <x:c r="Q5" s="39"/>
      <x:c r="R5" s="39"/>
      <x:c r="S5" s="39"/>
      <x:c r="T5" s="38" t="n">
        <x:f>L5+SUM(M5:S5)</x:f>
        <x:v>0.08349999999999999</x:v>
      </x:c>
      <x:c r="U5" s="39"/>
      <x:c r="V5" s="38" t="str">
        <x:f>IF(U5="","",T5-U5)</x:f>
      </x:c>
      <x:c r="W5" s="28"/>
    </x:row>
    <x:row r="6">
      <x:c r="A6" s="30" t="n">
        <x:v>6</x:v>
      </x:c>
      <x:c r="B6" s="30" t="n">
        <x:v>4</x:v>
      </x:c>
      <x:c r="C6" s="31" t="str">
        <x:f>REPT(" ",B6)&amp;TRIM(RIGHT(SUBSTITUTE(D6," ",REPT(" ",99)),99))</x:f>
        <x:v>    f4</x:v>
      </x:c>
      <x:c r="D6" s="18" t="str">
        <x:v>e4 c6 d4 d5 e5 a6 f4</x:v>
      </x:c>
      <x:c r="E6" s="18" t="str">
        <x:v>mev</x:v>
      </x:c>
      <x:c r="F6" s="34" t="str">
        <x:f>IF(COUNTIF($E$2:E6,E6)&gt;1,MATCH(E6,$E:$E,0),"")</x:f>
      </x:c>
      <x:c r="G6" s="34" t="str">
        <x:f>IF(F6="","",COUNTIF($F$2:F6,"&gt;0"))</x:f>
      </x:c>
      <x:c r="H6" s="34" t="n">
        <x:v>4</x:v>
      </x:c>
      <x:c r="I6" s="35" t="b">
        <x:v>1</x:v>
      </x:c>
      <x:c r="J6" s="38" t="n">
        <x:v>0.14946</x:v>
      </x:c>
      <x:c r="K6" s="38" t="n">
        <x:v>0.02871</x:v>
      </x:c>
      <x:c r="L6" s="38" t="n">
        <x:v>0.02871</x:v>
      </x:c>
      <x:c r="M6" s="39"/>
      <x:c r="N6" s="39"/>
      <x:c r="O6" s="39"/>
      <x:c r="P6" s="39"/>
      <x:c r="Q6" s="39"/>
      <x:c r="R6" s="39"/>
      <x:c r="S6" s="39"/>
      <x:c r="T6" s="38" t="n">
        <x:f>L6+SUM(M6:S6)</x:f>
        <x:v>0.02871</x:v>
      </x:c>
      <x:c r="U6" s="39"/>
      <x:c r="V6" s="38" t="str">
        <x:f>IF(U6="","",T6-U6)</x:f>
      </x:c>
      <x:c r="W6" s="28"/>
    </x:row>
    <x:row r="7">
      <x:c r="A7" s="30" t="n">
        <x:v>7</x:v>
      </x:c>
      <x:c r="B7" s="30" t="n">
        <x:v>4</x:v>
      </x:c>
      <x:c r="C7" s="31" t="str">
        <x:f>REPT(" ",B7)&amp;TRIM(RIGHT(SUBSTITUTE(D7," ",REPT(" ",99)),99))</x:f>
        <x:v>    Bd3</x:v>
      </x:c>
      <x:c r="D7" s="18" t="str">
        <x:v>e4 c6 d4 d5 e5 a6 Bd3</x:v>
      </x:c>
      <x:c r="E7" s="18" t="str">
        <x:v>tcn</x:v>
      </x:c>
      <x:c r="F7" s="34" t="str">
        <x:f>IF(COUNTIF($E$2:E7,E7)&gt;1,MATCH(E7,$E:$E,0),"")</x:f>
      </x:c>
      <x:c r="G7" s="34" t="str">
        <x:f>IF(F7="","",COUNTIF($F$2:F7,"&gt;0"))</x:f>
      </x:c>
      <x:c r="H7" s="34" t="n">
        <x:v>4</x:v>
      </x:c>
      <x:c r="I7" s="35" t="b">
        <x:v>1</x:v>
      </x:c>
      <x:c r="J7" s="38" t="n">
        <x:v>0.13266999999999998</x:v>
      </x:c>
      <x:c r="K7" s="38" t="n">
        <x:v>0.02548</x:v>
      </x:c>
      <x:c r="L7" s="38" t="n">
        <x:v>0.02548</x:v>
      </x:c>
      <x:c r="M7" s="39"/>
      <x:c r="N7" s="39"/>
      <x:c r="O7" s="39"/>
      <x:c r="P7" s="39"/>
      <x:c r="Q7" s="39"/>
      <x:c r="R7" s="39"/>
      <x:c r="S7" s="39"/>
      <x:c r="T7" s="38" t="n">
        <x:f>L7+SUM(M7:S7)</x:f>
        <x:v>0.02548</x:v>
      </x:c>
      <x:c r="U7" s="39"/>
      <x:c r="V7" s="38" t="str">
        <x:f>IF(U7="","",T7-U7)</x:f>
      </x:c>
      <x:c r="W7" s="28"/>
    </x:row>
    <x:row r="8">
      <x:c r="A8" s="30" t="n">
        <x:v>8</x:v>
      </x:c>
      <x:c r="B8" s="30" t="n">
        <x:v>4</x:v>
      </x:c>
      <x:c r="C8" s="31" t="str">
        <x:f>REPT(" ",B8)&amp;TRIM(RIGHT(SUBSTITUTE(D8," ",REPT(" ",99)),99))</x:f>
        <x:v>    c4</x:v>
      </x:c>
      <x:c r="D8" s="18" t="str">
        <x:v>e4 c6 d4 d5 e5 a6 c4</x:v>
      </x:c>
      <x:c r="E8" s="18" t="str">
        <x:v>khi</x:v>
      </x:c>
      <x:c r="F8" s="34" t="str">
        <x:f>IF(COUNTIF($E$2:E8,E8)&gt;1,MATCH(E8,$E:$E,0),"")</x:f>
      </x:c>
      <x:c r="G8" s="34" t="str">
        <x:f>IF(F8="","",COUNTIF($F$2:F8,"&gt;0"))</x:f>
      </x:c>
      <x:c r="H8" s="34" t="n">
        <x:v>4</x:v>
      </x:c>
      <x:c r="I8" s="35" t="b">
        <x:v>1</x:v>
      </x:c>
      <x:c r="J8" s="38" t="n">
        <x:v>0.10629</x:v>
      </x:c>
      <x:c r="K8" s="38" t="n">
        <x:v>0.020419999999999997</x:v>
      </x:c>
      <x:c r="L8" s="38" t="n">
        <x:v>0.020419999999999997</x:v>
      </x:c>
      <x:c r="M8" s="39"/>
      <x:c r="N8" s="39"/>
      <x:c r="O8" s="39"/>
      <x:c r="P8" s="39"/>
      <x:c r="Q8" s="39"/>
      <x:c r="R8" s="39"/>
      <x:c r="S8" s="39"/>
      <x:c r="T8" s="38" t="n">
        <x:f>L8+SUM(M8:S8)</x:f>
        <x:v>0.020419999999999997</x:v>
      </x:c>
      <x:c r="U8" s="39"/>
      <x:c r="V8" s="38" t="str">
        <x:f>IF(U8="","",T8-U8)</x:f>
      </x:c>
      <x:c r="W8" s="28"/>
    </x:row>
    <x:row r="9">
      <x:c r="A9" s="30" t="n">
        <x:v>9</x:v>
      </x:c>
      <x:c r="B9" s="30" t="n">
        <x:v>4</x:v>
      </x:c>
      <x:c r="C9" s="31" t="str">
        <x:f>REPT(" ",B9)&amp;TRIM(RIGHT(SUBSTITUTE(D9," ",REPT(" ",99)),99))</x:f>
        <x:v>    c3</x:v>
      </x:c>
      <x:c r="D9" s="18" t="str">
        <x:v>e4 c6 d4 d5 e5 a6 c3</x:v>
      </x:c>
      <x:c r="E9" s="18" t="str">
        <x:v>gvw</x:v>
      </x:c>
      <x:c r="F9" s="34" t="str">
        <x:f>IF(COUNTIF($E$2:E9,E9)&gt;1,MATCH(E9,$E:$E,0),"")</x:f>
      </x:c>
      <x:c r="G9" s="34" t="str">
        <x:f>IF(F9="","",COUNTIF($F$2:F9,"&gt;0"))</x:f>
      </x:c>
      <x:c r="H9" s="34" t="n">
        <x:v>4</x:v>
      </x:c>
      <x:c r="I9" s="35" t="b">
        <x:v>1</x:v>
      </x:c>
      <x:c r="J9" s="38" t="n">
        <x:v>0.10553000000000001</x:v>
      </x:c>
      <x:c r="K9" s="38" t="n">
        <x:v>0.02027</x:v>
      </x:c>
      <x:c r="L9" s="38" t="n">
        <x:v>0.02027</x:v>
      </x:c>
      <x:c r="M9" s="39"/>
      <x:c r="N9" s="39"/>
      <x:c r="O9" s="39"/>
      <x:c r="P9" s="39"/>
      <x:c r="Q9" s="39"/>
      <x:c r="R9" s="39"/>
      <x:c r="S9" s="39"/>
      <x:c r="T9" s="38" t="n">
        <x:f>L9+SUM(M9:S9)</x:f>
        <x:v>0.02027</x:v>
      </x:c>
      <x:c r="U9" s="39"/>
      <x:c r="V9" s="38" t="str">
        <x:f>IF(U9="","",T9-U9)</x:f>
      </x:c>
      <x:c r="W9" s="28"/>
    </x:row>
    <x:row r="10">
      <x:c r="A10" s="30" t="n">
        <x:v>10</x:v>
      </x:c>
      <x:c r="B10" s="30" t="n">
        <x:v>4</x:v>
      </x:c>
      <x:c r="C10" s="31" t="str">
        <x:f>REPT(" ",B10)&amp;TRIM(RIGHT(SUBSTITUTE(D10," ",REPT(" ",99)),99))</x:f>
        <x:v>    Nc3</x:v>
      </x:c>
      <x:c r="D10" s="18" t="str">
        <x:v>e4 c6 d4 d5 e5 a6 Nc3</x:v>
      </x:c>
      <x:c r="E10" s="18" t="str">
        <x:v>vss</x:v>
      </x:c>
      <x:c r="F10" s="34" t="str">
        <x:f>IF(COUNTIF($E$2:E10,E10)&gt;1,MATCH(E10,$E:$E,0),"")</x:f>
      </x:c>
      <x:c r="G10" s="34" t="str">
        <x:f>IF(F10="","",COUNTIF($F$2:F10,"&gt;0"))</x:f>
      </x:c>
      <x:c r="H10" s="34" t="n">
        <x:v>4</x:v>
      </x:c>
      <x:c r="I10" s="35" t="b">
        <x:v>1</x:v>
      </x:c>
      <x:c r="J10" s="38" t="n">
        <x:v>0.07133</x:v>
      </x:c>
      <x:c r="K10" s="38" t="n">
        <x:v>0.0137</x:v>
      </x:c>
      <x:c r="L10" s="38" t="n">
        <x:v>0.0137</x:v>
      </x:c>
      <x:c r="M10" s="39"/>
      <x:c r="N10" s="39"/>
      <x:c r="O10" s="39"/>
      <x:c r="P10" s="39"/>
      <x:c r="Q10" s="39"/>
      <x:c r="R10" s="39"/>
      <x:c r="S10" s="39"/>
      <x:c r="T10" s="38" t="n">
        <x:f>L10+SUM(M10:S10)</x:f>
        <x:v>0.0137</x:v>
      </x:c>
      <x:c r="U10" s="39"/>
      <x:c r="V10" s="38" t="str">
        <x:f>IF(U10="","",T10-U10)</x:f>
      </x:c>
      <x:c r="W10" s="28"/>
    </x:row>
    <x:row r="11">
      <x:c r="A11" s="30" t="n">
        <x:v>11</x:v>
      </x:c>
      <x:c r="B11" s="30" t="n">
        <x:v>3</x:v>
      </x:c>
      <x:c r="C11" s="31" t="str">
        <x:f>REPT(" ",B11)&amp;TRIM(RIGHT(SUBSTITUTE(D11," ",REPT(" ",99)),99))</x:f>
        <x:v>   exd5</x:v>
      </x:c>
      <x:c r="D11" s="18" t="str">
        <x:v>e4 c6 d4 d5 exd5</x:v>
      </x:c>
      <x:c r="E11" s="18" t="str">
        <x:v>ujo</x:v>
      </x:c>
      <x:c r="F11" s="34" t="str">
        <x:f>IF(COUNTIF($E$2:E11,E11)&gt;1,MATCH(E11,$E:$E,0),"")</x:f>
      </x:c>
      <x:c r="G11" s="34" t="str">
        <x:f>IF(F11="","",COUNTIF($F$2:F11,"&gt;0"))</x:f>
      </x:c>
      <x:c r="H11" s="34" t="n">
        <x:v>3</x:v>
      </x:c>
      <x:c r="I11" s="35" t="b">
        <x:v>0</x:v>
      </x:c>
      <x:c r="J11" s="38" t="n">
        <x:v>0.29999</x:v>
      </x:c>
      <x:c r="K11" s="38" t="n">
        <x:v>0.12151999999999999</x:v>
      </x:c>
      <x:c r="L11" s="38" t="n">
        <x:v>0.12151999999999999</x:v>
      </x:c>
      <x:c r="M11" s="39"/>
      <x:c r="N11" s="39"/>
      <x:c r="O11" s="39"/>
      <x:c r="P11" s="39"/>
      <x:c r="Q11" s="39"/>
      <x:c r="R11" s="39"/>
      <x:c r="S11" s="39"/>
      <x:c r="T11" s="38" t="n">
        <x:f>L11+SUM(M11:S11)</x:f>
        <x:v>0.12151999999999999</x:v>
      </x:c>
      <x:c r="U11" s="39"/>
      <x:c r="V11" s="38" t="str">
        <x:f>IF(U11="","",T11-U11)</x:f>
      </x:c>
      <x:c r="W11" s="28"/>
    </x:row>
    <x:row r="12">
      <x:c r="A12" s="30" t="n">
        <x:v>12</x:v>
      </x:c>
      <x:c r="B12" s="30" t="n">
        <x:v>4</x:v>
      </x:c>
      <x:c r="C12" s="31" t="str">
        <x:f>REPT(" ",B12)&amp;TRIM(RIGHT(SUBSTITUTE(D12," ",REPT(" ",99)),99))</x:f>
        <x:v>    Nc3</x:v>
      </x:c>
      <x:c r="D12" s="18" t="str">
        <x:v>e4 c6 d4 d5 exd5 Qxd5 Nc3</x:v>
      </x:c>
      <x:c r="E12" s="18" t="str">
        <x:v>kyc</x:v>
      </x:c>
      <x:c r="F12" s="34" t="str">
        <x:f>IF(COUNTIF($E$2:E12,E12)&gt;1,MATCH(E12,$E:$E,0),"")</x:f>
      </x:c>
      <x:c r="G12" s="34" t="str">
        <x:f>IF(F12="","",COUNTIF($F$2:F12,"&gt;0"))</x:f>
      </x:c>
      <x:c r="H12" s="34" t="n">
        <x:v>11</x:v>
      </x:c>
      <x:c r="I12" s="35" t="b">
        <x:v>1</x:v>
      </x:c>
      <x:c r="J12" s="38" t="n">
        <x:v>0.44432000000000005</x:v>
      </x:c>
      <x:c r="K12" s="38" t="n">
        <x:v>0.05399</x:v>
      </x:c>
      <x:c r="L12" s="38" t="n">
        <x:v>0.05399</x:v>
      </x:c>
      <x:c r="M12" s="39"/>
      <x:c r="N12" s="39"/>
      <x:c r="O12" s="39"/>
      <x:c r="P12" s="39"/>
      <x:c r="Q12" s="39"/>
      <x:c r="R12" s="39"/>
      <x:c r="S12" s="39"/>
      <x:c r="T12" s="38" t="n">
        <x:f>L12+SUM(M12:S12)</x:f>
        <x:v>0.05399</x:v>
      </x:c>
      <x:c r="U12" s="39"/>
      <x:c r="V12" s="38" t="str">
        <x:f>IF(U12="","",T12-U12)</x:f>
      </x:c>
      <x:c r="W12" s="28"/>
    </x:row>
    <x:row r="13">
      <x:c r="A13" s="30" t="n">
        <x:v>13</x:v>
      </x:c>
      <x:c r="B13" s="30" t="n">
        <x:v>4</x:v>
      </x:c>
      <x:c r="C13" s="31" t="str">
        <x:f>REPT(" ",B13)&amp;TRIM(RIGHT(SUBSTITUTE(D13," ",REPT(" ",99)),99))</x:f>
        <x:v>    Nf3</x:v>
      </x:c>
      <x:c r="D13" s="18" t="str">
        <x:v>e4 c6 d4 d5 exd5 Qxd5 Nf3</x:v>
      </x:c>
      <x:c r="E13" s="18" t="str">
        <x:v>aot</x:v>
      </x:c>
      <x:c r="F13" s="34" t="str">
        <x:f>IF(COUNTIF($E$2:E13,E13)&gt;1,MATCH(E13,$E:$E,0),"")</x:f>
      </x:c>
      <x:c r="G13" s="34" t="str">
        <x:f>IF(F13="","",COUNTIF($F$2:F13,"&gt;0"))</x:f>
      </x:c>
      <x:c r="H13" s="34" t="n">
        <x:v>11</x:v>
      </x:c>
      <x:c r="I13" s="35" t="b">
        <x:v>1</x:v>
      </x:c>
      <x:c r="J13" s="38" t="n">
        <x:v>0.28899</x:v>
      </x:c>
      <x:c r="K13" s="38" t="n">
        <x:v>0.03512</x:v>
      </x:c>
      <x:c r="L13" s="38" t="n">
        <x:v>0.03512</x:v>
      </x:c>
      <x:c r="M13" s="39"/>
      <x:c r="N13" s="39"/>
      <x:c r="O13" s="39"/>
      <x:c r="P13" s="39"/>
      <x:c r="Q13" s="39"/>
      <x:c r="R13" s="39"/>
      <x:c r="S13" s="39"/>
      <x:c r="T13" s="38" t="n">
        <x:f>L13+SUM(M13:S13)</x:f>
        <x:v>0.03512</x:v>
      </x:c>
      <x:c r="U13" s="39"/>
      <x:c r="V13" s="38" t="str">
        <x:f>IF(U13="","",T13-U13)</x:f>
      </x:c>
      <x:c r="W13" s="28"/>
    </x:row>
    <x:row r="14">
      <x:c r="A14" s="30" t="n">
        <x:v>14</x:v>
      </x:c>
      <x:c r="B14" s="30" t="n">
        <x:v>4</x:v>
      </x:c>
      <x:c r="C14" s="31" t="str">
        <x:f>REPT(" ",B14)&amp;TRIM(RIGHT(SUBSTITUTE(D14," ",REPT(" ",99)),99))</x:f>
        <x:v>    c4</x:v>
      </x:c>
      <x:c r="D14" s="18" t="str">
        <x:v>e4 c6 d4 d5 exd5 Qxd5 c4</x:v>
      </x:c>
      <x:c r="E14" s="18" t="str">
        <x:v>sdc</x:v>
      </x:c>
      <x:c r="F14" s="34" t="str">
        <x:f>IF(COUNTIF($E$2:E14,E14)&gt;1,MATCH(E14,$E:$E,0),"")</x:f>
      </x:c>
      <x:c r="G14" s="34" t="str">
        <x:f>IF(F14="","",COUNTIF($F$2:F14,"&gt;0"))</x:f>
      </x:c>
      <x:c r="H14" s="34" t="n">
        <x:v>11</x:v>
      </x:c>
      <x:c r="I14" s="35" t="b">
        <x:v>1</x:v>
      </x:c>
      <x:c r="J14" s="38" t="n">
        <x:v>0.2667</x:v>
      </x:c>
      <x:c r="K14" s="38" t="n">
        <x:v>0.03241</x:v>
      </x:c>
      <x:c r="L14" s="38" t="n">
        <x:v>0.03241</x:v>
      </x:c>
      <x:c r="M14" s="39"/>
      <x:c r="N14" s="39"/>
      <x:c r="O14" s="39"/>
      <x:c r="P14" s="39"/>
      <x:c r="Q14" s="39"/>
      <x:c r="R14" s="39"/>
      <x:c r="S14" s="39"/>
      <x:c r="T14" s="38" t="n">
        <x:f>L14+SUM(M14:S14)</x:f>
        <x:v>0.03241</x:v>
      </x:c>
      <x:c r="U14" s="39"/>
      <x:c r="V14" s="38" t="str">
        <x:f>IF(U14="","",T14-U14)</x:f>
      </x:c>
      <x:c r="W14" s="28"/>
    </x:row>
    <x:row r="15">
      <x:c r="A15" s="30" t="n">
        <x:v>15</x:v>
      </x:c>
      <x:c r="B15" s="30" t="n">
        <x:v>3</x:v>
      </x:c>
      <x:c r="C15" s="31" t="str">
        <x:f>REPT(" ",B15)&amp;TRIM(RIGHT(SUBSTITUTE(D15," ",REPT(" ",99)),99))</x:f>
        <x:v>   Nc3</x:v>
      </x:c>
      <x:c r="D15" s="18" t="str">
        <x:v>e4 c6 d4 d5 Nc3</x:v>
      </x:c>
      <x:c r="E15" s="18" t="str">
        <x:v>qfb</x:v>
      </x:c>
      <x:c r="F15" s="34" t="str">
        <x:f>IF(COUNTIF($E$2:E15,E15)&gt;1,MATCH(E15,$E:$E,0),"")</x:f>
      </x:c>
      <x:c r="G15" s="34" t="str">
        <x:f>IF(F15="","",COUNTIF($F$2:F15,"&gt;0"))</x:f>
      </x:c>
      <x:c r="H15" s="34" t="n">
        <x:v>3</x:v>
      </x:c>
      <x:c r="I15" s="35" t="b">
        <x:v>0</x:v>
      </x:c>
      <x:c r="J15" s="38" t="n">
        <x:v>0.22585999999999998</x:v>
      </x:c>
      <x:c r="K15" s="38" t="n">
        <x:v>0.09148999999999999</x:v>
      </x:c>
      <x:c r="L15" s="38" t="n">
        <x:v>0.09148999999999999</x:v>
      </x:c>
      <x:c r="M15" s="39"/>
      <x:c r="N15" s="39"/>
      <x:c r="O15" s="39"/>
      <x:c r="P15" s="39"/>
      <x:c r="Q15" s="39"/>
      <x:c r="R15" s="39"/>
      <x:c r="S15" s="39"/>
      <x:c r="T15" s="38" t="n">
        <x:f>L15+SUM(M15:S15)</x:f>
        <x:v>0.09148999999999999</x:v>
      </x:c>
      <x:c r="U15" s="39"/>
      <x:c r="V15" s="38" t="str">
        <x:f>IF(U15="","",T15-U15)</x:f>
      </x:c>
      <x:c r="W15" s="28"/>
    </x:row>
    <x:row r="16">
      <x:c r="A16" s="30" t="n">
        <x:v>16</x:v>
      </x:c>
      <x:c r="B16" s="30" t="n">
        <x:v>4</x:v>
      </x:c>
      <x:c r="C16" s="31" t="str">
        <x:f>REPT(" ",B16)&amp;TRIM(RIGHT(SUBSTITUTE(D16," ",REPT(" ",99)),99))</x:f>
        <x:v>    Nf3</x:v>
      </x:c>
      <x:c r="D16" s="18" t="str">
        <x:v>e4 c6 d4 d5 Nc3 a6 Nf3</x:v>
      </x:c>
      <x:c r="E16" s="18" t="str">
        <x:v>vhm</x:v>
      </x:c>
      <x:c r="F16" s="34" t="str">
        <x:f>IF(COUNTIF($E$2:E16,E16)&gt;1,MATCH(E16,$E:$E,0),"")</x:f>
      </x:c>
      <x:c r="G16" s="34" t="str">
        <x:f>IF(F16="","",COUNTIF($F$2:F16,"&gt;0"))</x:f>
      </x:c>
      <x:c r="H16" s="34" t="n">
        <x:v>15</x:v>
      </x:c>
      <x:c r="I16" s="35" t="b">
        <x:v>1</x:v>
      </x:c>
      <x:c r="J16" s="38" t="n">
        <x:v>0.43323</x:v>
      </x:c>
      <x:c r="K16" s="38" t="n">
        <x:v>0.03964</x:v>
      </x:c>
      <x:c r="L16" s="38" t="n">
        <x:v>0.03964</x:v>
      </x:c>
      <x:c r="M16" s="39"/>
      <x:c r="N16" s="39"/>
      <x:c r="O16" s="39"/>
      <x:c r="P16" s="39"/>
      <x:c r="Q16" s="39"/>
      <x:c r="R16" s="39"/>
      <x:c r="S16" s="39"/>
      <x:c r="T16" s="38" t="n">
        <x:f>L16+SUM(M16:S16)</x:f>
        <x:v>0.03964</x:v>
      </x:c>
      <x:c r="U16" s="39"/>
      <x:c r="V16" s="38" t="str">
        <x:f>IF(U16="","",T16-U16)</x:f>
      </x:c>
      <x:c r="W16" s="28"/>
    </x:row>
    <x:row r="17">
      <x:c r="A17" s="30" t="n">
        <x:v>17</x:v>
      </x:c>
      <x:c r="B17" s="30" t="n">
        <x:v>4</x:v>
      </x:c>
      <x:c r="C17" s="31" t="str">
        <x:f>REPT(" ",B17)&amp;TRIM(RIGHT(SUBSTITUTE(D17," ",REPT(" ",99)),99))</x:f>
        <x:v>    e5</x:v>
      </x:c>
      <x:c r="D17" s="18" t="str">
        <x:v>e4 c6 d4 d5 Nc3 a6 e5</x:v>
      </x:c>
      <x:c r="E17" s="18" t="str">
        <x:v>vss</x:v>
      </x:c>
      <x:c r="F17" s="34" t="n">
        <x:f>IF(COUNTIF($E$2:E17,E17)&gt;1,MATCH(E17,$E:$E,0),"")</x:f>
        <x:v>10</x:v>
      </x:c>
      <x:c r="G17" s="34" t="n">
        <x:f>IF(F17="","",COUNTIF($F$2:F17,"&gt;0"))</x:f>
        <x:v>1</x:v>
      </x:c>
      <x:c r="H17" s="34" t="n">
        <x:v>15</x:v>
      </x:c>
      <x:c r="I17" s="35" t="b">
        <x:v>1</x:v>
      </x:c>
      <x:c r="J17" s="38" t="n">
        <x:v>0.18807</x:v>
      </x:c>
      <x:c r="K17" s="38" t="n">
        <x:v>0.01721</x:v>
      </x:c>
      <x:c r="L17" s="38" t="n">
        <x:v>0.01721</x:v>
      </x:c>
      <x:c r="M17" s="39"/>
      <x:c r="N17" s="39"/>
      <x:c r="O17" s="39"/>
      <x:c r="P17" s="39"/>
      <x:c r="Q17" s="39"/>
      <x:c r="R17" s="39"/>
      <x:c r="S17" s="39"/>
      <x:c r="T17" s="38" t="n">
        <x:f>L17+SUM(M17:S17)</x:f>
        <x:v>0.01721</x:v>
      </x:c>
      <x:c r="U17" s="39"/>
      <x:c r="V17" s="38" t="str">
        <x:f>IF(U17="","",T17-U17)</x:f>
      </x:c>
      <x:c r="W17" s="28"/>
    </x:row>
    <x:row r="18">
      <x:c r="A18" s="30" t="n">
        <x:v>18</x:v>
      </x:c>
      <x:c r="B18" s="30" t="n">
        <x:v>4</x:v>
      </x:c>
      <x:c r="C18" s="31" t="str">
        <x:f>REPT(" ",B18)&amp;TRIM(RIGHT(SUBSTITUTE(D18," ",REPT(" ",99)),99))</x:f>
        <x:v>    exd5</x:v>
      </x:c>
      <x:c r="D18" s="18" t="str">
        <x:v>e4 c6 d4 d5 Nc3 a6 exd5</x:v>
      </x:c>
      <x:c r="E18" s="18" t="str">
        <x:v>dsh</x:v>
      </x:c>
      <x:c r="F18" s="34" t="str">
        <x:f>IF(COUNTIF($E$2:E18,E18)&gt;1,MATCH(E18,$E:$E,0),"")</x:f>
      </x:c>
      <x:c r="G18" s="34" t="str">
        <x:f>IF(F18="","",COUNTIF($F$2:F18,"&gt;0"))</x:f>
      </x:c>
      <x:c r="H18" s="34" t="n">
        <x:v>15</x:v>
      </x:c>
      <x:c r="I18" s="35" t="b">
        <x:v>1</x:v>
      </x:c>
      <x:c r="J18" s="38" t="n">
        <x:v>0.17620000000000002</x:v>
      </x:c>
      <x:c r="K18" s="38" t="n">
        <x:v>0.016120000000000002</x:v>
      </x:c>
      <x:c r="L18" s="38" t="n">
        <x:v>0.016120000000000002</x:v>
      </x:c>
      <x:c r="M18" s="39"/>
      <x:c r="N18" s="39"/>
      <x:c r="O18" s="39"/>
      <x:c r="P18" s="39"/>
      <x:c r="Q18" s="39"/>
      <x:c r="R18" s="39"/>
      <x:c r="S18" s="39"/>
      <x:c r="T18" s="38" t="n">
        <x:f>L18+SUM(M18:S18)</x:f>
        <x:v>0.016120000000000002</x:v>
      </x:c>
      <x:c r="U18" s="39"/>
      <x:c r="V18" s="38" t="str">
        <x:f>IF(U18="","",T18-U18)</x:f>
      </x:c>
      <x:c r="W18" s="28"/>
    </x:row>
    <x:row r="19">
      <x:c r="A19" s="30" t="n">
        <x:v>19</x:v>
      </x:c>
      <x:c r="B19" s="30" t="n">
        <x:v>4</x:v>
      </x:c>
      <x:c r="C19" s="31" t="str">
        <x:f>REPT(" ",B19)&amp;TRIM(RIGHT(SUBSTITUTE(D19," ",REPT(" ",99)),99))</x:f>
        <x:v>    Bd3</x:v>
      </x:c>
      <x:c r="D19" s="18" t="str">
        <x:v>e4 c6 d4 d5 Nc3 a6 Bd3</x:v>
      </x:c>
      <x:c r="E19" s="18" t="str">
        <x:v>qcf</x:v>
      </x:c>
      <x:c r="F19" s="34" t="str">
        <x:f>IF(COUNTIF($E$2:E19,E19)&gt;1,MATCH(E19,$E:$E,0),"")</x:f>
      </x:c>
      <x:c r="G19" s="34" t="str">
        <x:f>IF(F19="","",COUNTIF($F$2:F19,"&gt;0"))</x:f>
      </x:c>
      <x:c r="H19" s="34" t="n">
        <x:v>15</x:v>
      </x:c>
      <x:c r="I19" s="35" t="b">
        <x:v>1</x:v>
      </x:c>
      <x:c r="J19" s="38" t="n">
        <x:v>0.12853</x:v>
      </x:c>
      <x:c r="K19" s="38" t="n">
        <x:v>0.01176</x:v>
      </x:c>
      <x:c r="L19" s="38" t="n">
        <x:v>0.01176</x:v>
      </x:c>
      <x:c r="M19" s="39"/>
      <x:c r="N19" s="39"/>
      <x:c r="O19" s="39"/>
      <x:c r="P19" s="39"/>
      <x:c r="Q19" s="39"/>
      <x:c r="R19" s="39"/>
      <x:c r="S19" s="39"/>
      <x:c r="T19" s="38" t="n">
        <x:f>L19+SUM(M19:S19)</x:f>
        <x:v>0.01176</x:v>
      </x:c>
      <x:c r="U19" s="39"/>
      <x:c r="V19" s="38" t="str">
        <x:f>IF(U19="","",T19-U19)</x:f>
      </x:c>
      <x:c r="W19" s="28"/>
    </x:row>
    <x:row r="20">
      <x:c r="A20" s="30" t="n">
        <x:v>20</x:v>
      </x:c>
      <x:c r="B20" s="30" t="n">
        <x:v>4</x:v>
      </x:c>
      <x:c r="C20" s="31" t="str">
        <x:f>REPT(" ",B20)&amp;TRIM(RIGHT(SUBSTITUTE(D20," ",REPT(" ",99)),99))</x:f>
        <x:v>    Bf4</x:v>
      </x:c>
      <x:c r="D20" s="18" t="str">
        <x:v>e4 c6 d4 d5 Nc3 a6 Bf4</x:v>
      </x:c>
      <x:c r="E20" s="18" t="str">
        <x:v>ctc</x:v>
      </x:c>
      <x:c r="F20" s="34" t="str">
        <x:f>IF(COUNTIF($E$2:E20,E20)&gt;1,MATCH(E20,$E:$E,0),"")</x:f>
      </x:c>
      <x:c r="G20" s="34" t="str">
        <x:f>IF(F20="","",COUNTIF($F$2:F20,"&gt;0"))</x:f>
      </x:c>
      <x:c r="H20" s="34" t="n">
        <x:v>15</x:v>
      </x:c>
      <x:c r="I20" s="35" t="b">
        <x:v>1</x:v>
      </x:c>
      <x:c r="J20" s="38" t="n">
        <x:v>0.07397000000000001</x:v>
      </x:c>
      <x:c r="K20" s="38" t="n">
        <x:v>0.006770000000000001</x:v>
      </x:c>
      <x:c r="L20" s="38" t="n">
        <x:v>0.006770000000000001</x:v>
      </x:c>
      <x:c r="M20" s="39"/>
      <x:c r="N20" s="39"/>
      <x:c r="O20" s="39"/>
      <x:c r="P20" s="39"/>
      <x:c r="Q20" s="39"/>
      <x:c r="R20" s="39"/>
      <x:c r="S20" s="39"/>
      <x:c r="T20" s="38" t="n">
        <x:f>L20+SUM(M20:S20)</x:f>
        <x:v>0.006770000000000001</x:v>
      </x:c>
      <x:c r="U20" s="39"/>
      <x:c r="V20" s="38" t="str">
        <x:f>IF(U20="","",T20-U20)</x:f>
      </x:c>
      <x:c r="W20" s="28"/>
    </x:row>
    <x:row r="21">
      <x:c r="A21" s="30" t="n">
        <x:v>21</x:v>
      </x:c>
      <x:c r="B21" s="30" t="n">
        <x:v>2</x:v>
      </x:c>
      <x:c r="C21" s="31" t="str">
        <x:f>REPT(" ",B21)&amp;TRIM(RIGHT(SUBSTITUTE(D21," ",REPT(" ",99)),99))</x:f>
        <x:v>  Nf3</x:v>
      </x:c>
      <x:c r="D21" s="18" t="str">
        <x:v>e4 c6 Nf3</x:v>
      </x:c>
      <x:c r="E21" s="18" t="str">
        <x:v>ozr</x:v>
      </x:c>
      <x:c r="F21" s="34" t="str">
        <x:f>IF(COUNTIF($E$2:E21,E21)&gt;1,MATCH(E21,$E:$E,0),"")</x:f>
      </x:c>
      <x:c r="G21" s="34" t="str">
        <x:f>IF(F21="","",COUNTIF($F$2:F21,"&gt;0"))</x:f>
      </x:c>
      <x:c r="H21" s="34" t="n">
        <x:v>2</x:v>
      </x:c>
      <x:c r="I21" s="35" t="b">
        <x:v>0</x:v>
      </x:c>
      <x:c r="J21" s="38" t="n">
        <x:v>0.29731</x:v>
      </x:c>
      <x:c r="K21" s="38" t="n">
        <x:v>0.21492</x:v>
      </x:c>
      <x:c r="L21" s="38" t="n">
        <x:v>0.21492</x:v>
      </x:c>
      <x:c r="M21" s="39"/>
      <x:c r="N21" s="39"/>
      <x:c r="O21" s="39"/>
      <x:c r="P21" s="39"/>
      <x:c r="Q21" s="39"/>
      <x:c r="R21" s="39"/>
      <x:c r="S21" s="39"/>
      <x:c r="T21" s="38" t="n">
        <x:f>L21+SUM(M21:S21)</x:f>
        <x:v>0.21492</x:v>
      </x:c>
      <x:c r="U21" s="39"/>
      <x:c r="V21" s="38" t="str">
        <x:f>IF(U21="","",T21-U21)</x:f>
      </x:c>
      <x:c r="W21" s="28"/>
    </x:row>
    <x:row r="22">
      <x:c r="A22" s="30" t="n">
        <x:v>22</x:v>
      </x:c>
      <x:c r="B22" s="30" t="n">
        <x:v>3</x:v>
      </x:c>
      <x:c r="C22" s="31" t="str">
        <x:f>REPT(" ",B22)&amp;TRIM(RIGHT(SUBSTITUTE(D22," ",REPT(" ",99)),99))</x:f>
        <x:v>   d4</x:v>
      </x:c>
      <x:c r="D22" s="18" t="str">
        <x:v>e4 c6 Nf3 g6 d4</x:v>
      </x:c>
      <x:c r="E22" s="18" t="str">
        <x:v>zoj</x:v>
      </x:c>
      <x:c r="F22" s="34" t="str">
        <x:f>IF(COUNTIF($E$2:E22,E22)&gt;1,MATCH(E22,$E:$E,0),"")</x:f>
      </x:c>
      <x:c r="G22" s="34" t="str">
        <x:f>IF(F22="","",COUNTIF($F$2:F22,"&gt;0"))</x:f>
      </x:c>
      <x:c r="H22" s="34" t="n">
        <x:v>21</x:v>
      </x:c>
      <x:c r="I22" s="35" t="b">
        <x:v>0</x:v>
      </x:c>
      <x:c r="J22" s="38" t="n">
        <x:v>0.58173</x:v>
      </x:c>
      <x:c r="K22" s="38" t="n">
        <x:v>0.12502000000000002</x:v>
      </x:c>
      <x:c r="L22" s="38" t="n">
        <x:v>0.12502000000000002</x:v>
      </x:c>
      <x:c r="M22" s="39"/>
      <x:c r="N22" s="39"/>
      <x:c r="O22" s="39"/>
      <x:c r="P22" s="39"/>
      <x:c r="Q22" s="39"/>
      <x:c r="R22" s="39"/>
      <x:c r="S22" s="39"/>
      <x:c r="T22" s="38" t="n">
        <x:f>L22+SUM(M22:S22)</x:f>
        <x:v>0.12502000000000002</x:v>
      </x:c>
      <x:c r="U22" s="39"/>
      <x:c r="V22" s="38" t="str">
        <x:f>IF(U22="","",T22-U22)</x:f>
      </x:c>
      <x:c r="W22" s="28"/>
    </x:row>
    <x:row r="23">
      <x:c r="A23" s="30" t="n">
        <x:v>23</x:v>
      </x:c>
      <x:c r="B23" s="30" t="n">
        <x:v>4</x:v>
      </x:c>
      <x:c r="C23" s="31" t="str">
        <x:f>REPT(" ",B23)&amp;TRIM(RIGHT(SUBSTITUTE(D23," ",REPT(" ",99)),99))</x:f>
        <x:v>    Nc3</x:v>
      </x:c>
      <x:c r="D23" s="18" t="str">
        <x:v>e4 c6 Nf3 g6 d4 d6 Nc3</x:v>
      </x:c>
      <x:c r="E23" s="18" t="str">
        <x:v>bsx</x:v>
      </x:c>
      <x:c r="F23" s="34" t="str">
        <x:f>IF(COUNTIF($E$2:E23,E23)&gt;1,MATCH(E23,$E:$E,0),"")</x:f>
      </x:c>
      <x:c r="G23" s="34" t="str">
        <x:f>IF(F23="","",COUNTIF($F$2:F23,"&gt;0"))</x:f>
      </x:c>
      <x:c r="H23" s="34" t="n">
        <x:v>22</x:v>
      </x:c>
      <x:c r="I23" s="35" t="b">
        <x:v>1</x:v>
      </x:c>
      <x:c r="J23" s="38" t="n">
        <x:v>0.31232</x:v>
      </x:c>
      <x:c r="K23" s="38" t="n">
        <x:v>0.03905</x:v>
      </x:c>
      <x:c r="L23" s="38" t="n">
        <x:v>0.03905</x:v>
      </x:c>
      <x:c r="M23" s="39"/>
      <x:c r="N23" s="39"/>
      <x:c r="O23" s="39"/>
      <x:c r="P23" s="39"/>
      <x:c r="Q23" s="39"/>
      <x:c r="R23" s="39"/>
      <x:c r="S23" s="39"/>
      <x:c r="T23" s="38" t="n">
        <x:f>L23+SUM(M23:S23)</x:f>
        <x:v>0.03905</x:v>
      </x:c>
      <x:c r="U23" s="39"/>
      <x:c r="V23" s="38" t="str">
        <x:f>IF(U23="","",T23-U23)</x:f>
      </x:c>
      <x:c r="W23" s="28"/>
    </x:row>
    <x:row r="24">
      <x:c r="A24" s="30" t="n">
        <x:v>24</x:v>
      </x:c>
      <x:c r="B24" s="30" t="n">
        <x:v>4</x:v>
      </x:c>
      <x:c r="C24" s="31" t="str">
        <x:f>REPT(" ",B24)&amp;TRIM(RIGHT(SUBSTITUTE(D24," ",REPT(" ",99)),99))</x:f>
        <x:v>    Bc4</x:v>
      </x:c>
      <x:c r="D24" s="18" t="str">
        <x:v>e4 c6 Nf3 g6 d4 d6 Bc4</x:v>
      </x:c>
      <x:c r="E24" s="18" t="str">
        <x:v>nwx</x:v>
      </x:c>
      <x:c r="F24" s="34" t="str">
        <x:f>IF(COUNTIF($E$2:E24,E24)&gt;1,MATCH(E24,$E:$E,0),"")</x:f>
      </x:c>
      <x:c r="G24" s="34" t="str">
        <x:f>IF(F24="","",COUNTIF($F$2:F24,"&gt;0"))</x:f>
      </x:c>
      <x:c r="H24" s="34" t="n">
        <x:v>22</x:v>
      </x:c>
      <x:c r="I24" s="35" t="b">
        <x:v>1</x:v>
      </x:c>
      <x:c r="J24" s="38" t="n">
        <x:v>0.19099</x:v>
      </x:c>
      <x:c r="K24" s="38" t="n">
        <x:v>0.02388</x:v>
      </x:c>
      <x:c r="L24" s="38" t="n">
        <x:v>0.02388</x:v>
      </x:c>
      <x:c r="M24" s="39"/>
      <x:c r="N24" s="39"/>
      <x:c r="O24" s="39"/>
      <x:c r="P24" s="39"/>
      <x:c r="Q24" s="39"/>
      <x:c r="R24" s="39"/>
      <x:c r="S24" s="39"/>
      <x:c r="T24" s="38" t="n">
        <x:f>L24+SUM(M24:S24)</x:f>
        <x:v>0.02388</x:v>
      </x:c>
      <x:c r="U24" s="39"/>
      <x:c r="V24" s="38" t="str">
        <x:f>IF(U24="","",T24-U24)</x:f>
      </x:c>
      <x:c r="W24" s="28"/>
    </x:row>
    <x:row r="25">
      <x:c r="A25" s="30" t="n">
        <x:v>25</x:v>
      </x:c>
      <x:c r="B25" s="30" t="n">
        <x:v>4</x:v>
      </x:c>
      <x:c r="C25" s="31" t="str">
        <x:f>REPT(" ",B25)&amp;TRIM(RIGHT(SUBSTITUTE(D25," ",REPT(" ",99)),99))</x:f>
        <x:v>    Bd3</x:v>
      </x:c>
      <x:c r="D25" s="18" t="str">
        <x:v>e4 c6 Nf3 g6 d4 d6 Bd3</x:v>
      </x:c>
      <x:c r="E25" s="18" t="str">
        <x:v>zrv</x:v>
      </x:c>
      <x:c r="F25" s="34" t="str">
        <x:f>IF(COUNTIF($E$2:E25,E25)&gt;1,MATCH(E25,$E:$E,0),"")</x:f>
      </x:c>
      <x:c r="G25" s="34" t="str">
        <x:f>IF(F25="","",COUNTIF($F$2:F25,"&gt;0"))</x:f>
      </x:c>
      <x:c r="H25" s="34" t="n">
        <x:v>22</x:v>
      </x:c>
      <x:c r="I25" s="35" t="b">
        <x:v>1</x:v>
      </x:c>
      <x:c r="J25" s="38" t="n">
        <x:v>0.15078</x:v>
      </x:c>
      <x:c r="K25" s="38" t="n">
        <x:v>0.01885</x:v>
      </x:c>
      <x:c r="L25" s="38" t="n">
        <x:v>0.01885</x:v>
      </x:c>
      <x:c r="M25" s="39"/>
      <x:c r="N25" s="39"/>
      <x:c r="O25" s="39"/>
      <x:c r="P25" s="39"/>
      <x:c r="Q25" s="39"/>
      <x:c r="R25" s="39"/>
      <x:c r="S25" s="39"/>
      <x:c r="T25" s="38" t="n">
        <x:f>L25+SUM(M25:S25)</x:f>
        <x:v>0.01885</x:v>
      </x:c>
      <x:c r="U25" s="39"/>
      <x:c r="V25" s="38" t="str">
        <x:f>IF(U25="","",T25-U25)</x:f>
      </x:c>
      <x:c r="W25" s="28"/>
    </x:row>
    <x:row r="26">
      <x:c r="A26" s="30" t="n">
        <x:v>26</x:v>
      </x:c>
      <x:c r="B26" s="30" t="n">
        <x:v>4</x:v>
      </x:c>
      <x:c r="C26" s="31" t="str">
        <x:f>REPT(" ",B26)&amp;TRIM(RIGHT(SUBSTITUTE(D26," ",REPT(" ",99)),99))</x:f>
        <x:v>    c4</x:v>
      </x:c>
      <x:c r="D26" s="18" t="str">
        <x:v>e4 c6 Nf3 g6 d4 d6 c4</x:v>
      </x:c>
      <x:c r="E26" s="18" t="str">
        <x:v>kbb</x:v>
      </x:c>
      <x:c r="F26" s="34" t="str">
        <x:f>IF(COUNTIF($E$2:E26,E26)&gt;1,MATCH(E26,$E:$E,0),"")</x:f>
      </x:c>
      <x:c r="G26" s="34" t="str">
        <x:f>IF(F26="","",COUNTIF($F$2:F26,"&gt;0"))</x:f>
      </x:c>
      <x:c r="H26" s="34" t="n">
        <x:v>22</x:v>
      </x:c>
      <x:c r="I26" s="35" t="b">
        <x:v>1</x:v>
      </x:c>
      <x:c r="J26" s="38" t="n">
        <x:v>0.14207</x:v>
      </x:c>
      <x:c r="K26" s="38" t="n">
        <x:v>0.01776</x:v>
      </x:c>
      <x:c r="L26" s="38" t="n">
        <x:v>0.01776</x:v>
      </x:c>
      <x:c r="M26" s="39"/>
      <x:c r="N26" s="39"/>
      <x:c r="O26" s="39"/>
      <x:c r="P26" s="39"/>
      <x:c r="Q26" s="39"/>
      <x:c r="R26" s="39"/>
      <x:c r="S26" s="39"/>
      <x:c r="T26" s="38" t="n">
        <x:f>L26+SUM(M26:S26)</x:f>
        <x:v>0.01776</x:v>
      </x:c>
      <x:c r="U26" s="39"/>
      <x:c r="V26" s="38" t="str">
        <x:f>IF(U26="","",T26-U26)</x:f>
      </x:c>
      <x:c r="W26" s="28"/>
    </x:row>
    <x:row r="27">
      <x:c r="A27" s="30" t="n">
        <x:v>27</x:v>
      </x:c>
      <x:c r="B27" s="30" t="n">
        <x:v>4</x:v>
      </x:c>
      <x:c r="C27" s="31" t="str">
        <x:f>REPT(" ",B27)&amp;TRIM(RIGHT(SUBSTITUTE(D27," ",REPT(" ",99)),99))</x:f>
        <x:v>    c3</x:v>
      </x:c>
      <x:c r="D27" s="18" t="str">
        <x:v>e4 c6 Nf3 g6 d4 d6 c3</x:v>
      </x:c>
      <x:c r="E27" s="18" t="str">
        <x:v>rbx</x:v>
      </x:c>
      <x:c r="F27" s="34" t="str">
        <x:f>IF(COUNTIF($E$2:E27,E27)&gt;1,MATCH(E27,$E:$E,0),"")</x:f>
      </x:c>
      <x:c r="G27" s="34" t="str">
        <x:f>IF(F27="","",COUNTIF($F$2:F27,"&gt;0"))</x:f>
      </x:c>
      <x:c r="H27" s="34" t="n">
        <x:v>22</x:v>
      </x:c>
      <x:c r="I27" s="35" t="b">
        <x:v>1</x:v>
      </x:c>
      <x:c r="J27" s="38" t="n">
        <x:v>0.07445</x:v>
      </x:c>
      <x:c r="K27" s="38" t="n">
        <x:v>0.00931</x:v>
      </x:c>
      <x:c r="L27" s="38" t="n">
        <x:v>0.00931</x:v>
      </x:c>
      <x:c r="M27" s="39"/>
      <x:c r="N27" s="39"/>
      <x:c r="O27" s="39"/>
      <x:c r="P27" s="39"/>
      <x:c r="Q27" s="39"/>
      <x:c r="R27" s="39"/>
      <x:c r="S27" s="39"/>
      <x:c r="T27" s="38" t="n">
        <x:f>L27+SUM(M27:S27)</x:f>
        <x:v>0.00931</x:v>
      </x:c>
      <x:c r="U27" s="39"/>
      <x:c r="V27" s="38" t="str">
        <x:f>IF(U27="","",T27-U27)</x:f>
      </x:c>
      <x:c r="W27" s="28"/>
    </x:row>
    <x:row r="28">
      <x:c r="A28" s="30" t="n">
        <x:v>28</x:v>
      </x:c>
      <x:c r="B28" s="30" t="n">
        <x:v>4</x:v>
      </x:c>
      <x:c r="C28" s="31" t="str">
        <x:f>REPT(" ",B28)&amp;TRIM(RIGHT(SUBSTITUTE(D28," ",REPT(" ",99)),99))</x:f>
        <x:v>    Be3</x:v>
      </x:c>
      <x:c r="D28" s="18" t="str">
        <x:v>e4 c6 Nf3 g6 d4 d6 Be3</x:v>
      </x:c>
      <x:c r="E28" s="18" t="str">
        <x:v>gjg</x:v>
      </x:c>
      <x:c r="F28" s="34" t="str">
        <x:f>IF(COUNTIF($E$2:E28,E28)&gt;1,MATCH(E28,$E:$E,0),"")</x:f>
      </x:c>
      <x:c r="G28" s="34" t="str">
        <x:f>IF(F28="","",COUNTIF($F$2:F28,"&gt;0"))</x:f>
      </x:c>
      <x:c r="H28" s="34" t="n">
        <x:v>22</x:v>
      </x:c>
      <x:c r="I28" s="35" t="b">
        <x:v>1</x:v>
      </x:c>
      <x:c r="J28" s="38" t="n">
        <x:v>0.06892999999999999</x:v>
      </x:c>
      <x:c r="K28" s="38" t="n">
        <x:v>0.00862</x:v>
      </x:c>
      <x:c r="L28" s="38" t="n">
        <x:v>0.00862</x:v>
      </x:c>
      <x:c r="M28" s="39"/>
      <x:c r="N28" s="39"/>
      <x:c r="O28" s="39"/>
      <x:c r="P28" s="39"/>
      <x:c r="Q28" s="39"/>
      <x:c r="R28" s="39"/>
      <x:c r="S28" s="39"/>
      <x:c r="T28" s="38" t="n">
        <x:f>L28+SUM(M28:S28)</x:f>
        <x:v>0.00862</x:v>
      </x:c>
      <x:c r="U28" s="39"/>
      <x:c r="V28" s="38" t="str">
        <x:f>IF(U28="","",T28-U28)</x:f>
      </x:c>
      <x:c r="W28" s="28"/>
    </x:row>
    <x:row r="29">
      <x:c r="A29" s="30" t="n">
        <x:v>29</x:v>
      </x:c>
      <x:c r="B29" s="30" t="n">
        <x:v>4</x:v>
      </x:c>
      <x:c r="C29" s="31" t="str">
        <x:f>REPT(" ",B29)&amp;TRIM(RIGHT(SUBSTITUTE(D29," ",REPT(" ",99)),99))</x:f>
        <x:v>    Be2</x:v>
      </x:c>
      <x:c r="D29" s="18" t="str">
        <x:v>e4 c6 Nf3 g6 d4 d6 Be2</x:v>
      </x:c>
      <x:c r="E29" s="18" t="str">
        <x:v>wpe</x:v>
      </x:c>
      <x:c r="F29" s="34" t="str">
        <x:f>IF(COUNTIF($E$2:E29,E29)&gt;1,MATCH(E29,$E:$E,0),"")</x:f>
      </x:c>
      <x:c r="G29" s="34" t="str">
        <x:f>IF(F29="","",COUNTIF($F$2:F29,"&gt;0"))</x:f>
      </x:c>
      <x:c r="H29" s="34" t="n">
        <x:v>22</x:v>
      </x:c>
      <x:c r="I29" s="35" t="b">
        <x:v>1</x:v>
      </x:c>
      <x:c r="J29" s="38" t="n">
        <x:v>0.06046</x:v>
      </x:c>
      <x:c r="K29" s="38" t="n">
        <x:v>0.00756</x:v>
      </x:c>
      <x:c r="L29" s="38" t="n">
        <x:v>0.00756</x:v>
      </x:c>
      <x:c r="M29" s="39"/>
      <x:c r="N29" s="39"/>
      <x:c r="O29" s="39"/>
      <x:c r="P29" s="39"/>
      <x:c r="Q29" s="39"/>
      <x:c r="R29" s="39"/>
      <x:c r="S29" s="39"/>
      <x:c r="T29" s="38" t="n">
        <x:f>L29+SUM(M29:S29)</x:f>
        <x:v>0.00756</x:v>
      </x:c>
      <x:c r="U29" s="39"/>
      <x:c r="V29" s="38" t="str">
        <x:f>IF(U29="","",T29-U29)</x:f>
      </x:c>
      <x:c r="W29" s="28"/>
    </x:row>
    <x:row r="30">
      <x:c r="A30" s="30" t="n">
        <x:v>30</x:v>
      </x:c>
      <x:c r="B30" s="30" t="n">
        <x:v>3</x:v>
      </x:c>
      <x:c r="C30" s="31" t="str">
        <x:f>REPT(" ",B30)&amp;TRIM(RIGHT(SUBSTITUTE(D30," ",REPT(" ",99)),99))</x:f>
        <x:v>   Bc4</x:v>
      </x:c>
      <x:c r="D30" s="18" t="str">
        <x:v>e4 c6 Nf3 g6 Bc4</x:v>
      </x:c>
      <x:c r="E30" s="18" t="str">
        <x:v>dbu</x:v>
      </x:c>
      <x:c r="F30" s="34" t="str">
        <x:f>IF(COUNTIF($E$2:E30,E30)&gt;1,MATCH(E30,$E:$E,0),"")</x:f>
      </x:c>
      <x:c r="G30" s="34" t="str">
        <x:f>IF(F30="","",COUNTIF($F$2:F30,"&gt;0"))</x:f>
      </x:c>
      <x:c r="H30" s="34" t="n">
        <x:v>21</x:v>
      </x:c>
      <x:c r="I30" s="35" t="b">
        <x:v>0</x:v>
      </x:c>
      <x:c r="J30" s="38" t="n">
        <x:v>0.26666</x:v>
      </x:c>
      <x:c r="K30" s="38" t="n">
        <x:v>0.05731</x:v>
      </x:c>
      <x:c r="L30" s="38" t="n">
        <x:v>0.05731</x:v>
      </x:c>
      <x:c r="M30" s="39"/>
      <x:c r="N30" s="39"/>
      <x:c r="O30" s="39"/>
      <x:c r="P30" s="39"/>
      <x:c r="Q30" s="39"/>
      <x:c r="R30" s="39"/>
      <x:c r="S30" s="39"/>
      <x:c r="T30" s="38" t="n">
        <x:f>L30+SUM(M30:S30)</x:f>
        <x:v>0.05731</x:v>
      </x:c>
      <x:c r="U30" s="39"/>
      <x:c r="V30" s="38" t="str">
        <x:f>IF(U30="","",T30-U30)</x:f>
      </x:c>
      <x:c r="W30" s="28"/>
    </x:row>
    <x:row r="31">
      <x:c r="A31" s="30" t="n">
        <x:v>31</x:v>
      </x:c>
      <x:c r="B31" s="30" t="n">
        <x:v>4</x:v>
      </x:c>
      <x:c r="C31" s="31" t="str">
        <x:f>REPT(" ",B31)&amp;TRIM(RIGHT(SUBSTITUTE(D31," ",REPT(" ",99)),99))</x:f>
        <x:v>    exd5</x:v>
      </x:c>
      <x:c r="D31" s="18" t="str">
        <x:v>e4 c6 Nf3 g6 Bc4 d5 exd5</x:v>
      </x:c>
      <x:c r="E31" s="18" t="str">
        <x:v>rac</x:v>
      </x:c>
      <x:c r="F31" s="34" t="str">
        <x:f>IF(COUNTIF($E$2:E31,E31)&gt;1,MATCH(E31,$E:$E,0),"")</x:f>
      </x:c>
      <x:c r="G31" s="34" t="str">
        <x:f>IF(F31="","",COUNTIF($F$2:F31,"&gt;0"))</x:f>
      </x:c>
      <x:c r="H31" s="34" t="n">
        <x:v>30</x:v>
      </x:c>
      <x:c r="I31" s="35" t="b">
        <x:v>1</x:v>
      </x:c>
      <x:c r="J31" s="38" t="n">
        <x:v>1</x:v>
      </x:c>
      <x:c r="K31" s="38" t="n">
        <x:v>0.05731</x:v>
      </x:c>
      <x:c r="L31" s="38" t="n">
        <x:v>0.05731</x:v>
      </x:c>
      <x:c r="M31" s="39"/>
      <x:c r="N31" s="39"/>
      <x:c r="O31" s="39"/>
      <x:c r="P31" s="39"/>
      <x:c r="Q31" s="39"/>
      <x:c r="R31" s="39"/>
      <x:c r="S31" s="39"/>
      <x:c r="T31" s="38" t="n">
        <x:f>L31+SUM(M31:S31)</x:f>
        <x:v>0.05731</x:v>
      </x:c>
      <x:c r="U31" s="39"/>
      <x:c r="V31" s="38" t="str">
        <x:f>IF(U31="","",T31-U31)</x:f>
      </x:c>
      <x:c r="W31" s="28"/>
    </x:row>
    <x:row r="32">
      <x:c r="A32" s="30" t="n">
        <x:v>32</x:v>
      </x:c>
      <x:c r="B32" s="30" t="n">
        <x:v>3</x:v>
      </x:c>
      <x:c r="C32" s="31" t="str">
        <x:f>REPT(" ",B32)&amp;TRIM(RIGHT(SUBSTITUTE(D32," ",REPT(" ",99)),99))</x:f>
        <x:v>   Nc3</x:v>
      </x:c>
      <x:c r="D32" s="18" t="str">
        <x:v>e4 c6 Nf3 g6 Nc3</x:v>
      </x:c>
      <x:c r="E32" s="18" t="str">
        <x:v>yhf</x:v>
      </x:c>
      <x:c r="F32" s="34" t="str">
        <x:f>IF(COUNTIF($E$2:E32,E32)&gt;1,MATCH(E32,$E:$E,0),"")</x:f>
      </x:c>
      <x:c r="G32" s="34" t="str">
        <x:f>IF(F32="","",COUNTIF($F$2:F32,"&gt;0"))</x:f>
      </x:c>
      <x:c r="H32" s="34" t="n">
        <x:v>21</x:v>
      </x:c>
      <x:c r="I32" s="35" t="b">
        <x:v>0</x:v>
      </x:c>
      <x:c r="J32" s="38" t="n">
        <x:v>0.15161</x:v>
      </x:c>
      <x:c r="K32" s="38" t="n">
        <x:v>0.03258</x:v>
      </x:c>
      <x:c r="L32" s="38" t="n">
        <x:v>0.03258</x:v>
      </x:c>
      <x:c r="M32" s="39"/>
      <x:c r="N32" s="39"/>
      <x:c r="O32" s="39"/>
      <x:c r="P32" s="39"/>
      <x:c r="Q32" s="39"/>
      <x:c r="R32" s="39"/>
      <x:c r="S32" s="39"/>
      <x:c r="T32" s="38" t="n">
        <x:f>L32+SUM(M32:S32)</x:f>
        <x:v>0.03258</x:v>
      </x:c>
      <x:c r="U32" s="39"/>
      <x:c r="V32" s="38" t="str">
        <x:f>IF(U32="","",T32-U32)</x:f>
      </x:c>
      <x:c r="W32" s="28"/>
    </x:row>
    <x:row r="33">
      <x:c r="A33" s="30" t="n">
        <x:v>33</x:v>
      </x:c>
      <x:c r="B33" s="30" t="n">
        <x:v>4</x:v>
      </x:c>
      <x:c r="C33" s="31" t="str">
        <x:f>REPT(" ",B33)&amp;TRIM(RIGHT(SUBSTITUTE(D33," ",REPT(" ",99)),99))</x:f>
        <x:v>    d4</x:v>
      </x:c>
      <x:c r="D33" s="18" t="str">
        <x:v>e4 c6 Nf3 g6 Nc3 d5 d4</x:v>
      </x:c>
      <x:c r="E33" s="18" t="str">
        <x:v>gmb</x:v>
      </x:c>
      <x:c r="F33" s="34" t="str">
        <x:f>IF(COUNTIF($E$2:E33,E33)&gt;1,MATCH(E33,$E:$E,0),"")</x:f>
      </x:c>
      <x:c r="G33" s="34" t="str">
        <x:f>IF(F33="","",COUNTIF($F$2:F33,"&gt;0"))</x:f>
      </x:c>
      <x:c r="H33" s="34" t="n">
        <x:v>32</x:v>
      </x:c>
      <x:c r="I33" s="35" t="b">
        <x:v>1</x:v>
      </x:c>
      <x:c r="J33" s="38" t="n">
        <x:v>0.48255000000000003</x:v>
      </x:c>
      <x:c r="K33" s="38" t="n">
        <x:v>0.01572</x:v>
      </x:c>
      <x:c r="L33" s="38" t="n">
        <x:v>0.01572</x:v>
      </x:c>
      <x:c r="M33" s="39"/>
      <x:c r="N33" s="39"/>
      <x:c r="O33" s="39"/>
      <x:c r="P33" s="39"/>
      <x:c r="Q33" s="39"/>
      <x:c r="R33" s="39"/>
      <x:c r="S33" s="39"/>
      <x:c r="T33" s="38" t="n">
        <x:f>L33+SUM(M33:S33)</x:f>
        <x:v>0.01572</x:v>
      </x:c>
      <x:c r="U33" s="39"/>
      <x:c r="V33" s="38" t="str">
        <x:f>IF(U33="","",T33-U33)</x:f>
      </x:c>
      <x:c r="W33" s="28"/>
    </x:row>
    <x:row r="34">
      <x:c r="A34" s="30" t="n">
        <x:v>34</x:v>
      </x:c>
      <x:c r="B34" s="30" t="n">
        <x:v>4</x:v>
      </x:c>
      <x:c r="C34" s="31" t="str">
        <x:f>REPT(" ",B34)&amp;TRIM(RIGHT(SUBSTITUTE(D34," ",REPT(" ",99)),99))</x:f>
        <x:v>    exd5</x:v>
      </x:c>
      <x:c r="D34" s="18" t="str">
        <x:v>e4 c6 Nf3 g6 Nc3 d5 exd5</x:v>
      </x:c>
      <x:c r="E34" s="18" t="str">
        <x:v>miz</x:v>
      </x:c>
      <x:c r="F34" s="34" t="str">
        <x:f>IF(COUNTIF($E$2:E34,E34)&gt;1,MATCH(E34,$E:$E,0),"")</x:f>
      </x:c>
      <x:c r="G34" s="34" t="str">
        <x:f>IF(F34="","",COUNTIF($F$2:F34,"&gt;0"))</x:f>
      </x:c>
      <x:c r="H34" s="34" t="n">
        <x:v>32</x:v>
      </x:c>
      <x:c r="I34" s="35" t="b">
        <x:v>1</x:v>
      </x:c>
      <x:c r="J34" s="38" t="n">
        <x:v>0.37491</x:v>
      </x:c>
      <x:c r="K34" s="38" t="n">
        <x:v>0.01222</x:v>
      </x:c>
      <x:c r="L34" s="38" t="n">
        <x:v>0.01222</x:v>
      </x:c>
      <x:c r="M34" s="39"/>
      <x:c r="N34" s="39"/>
      <x:c r="O34" s="39"/>
      <x:c r="P34" s="39"/>
      <x:c r="Q34" s="39"/>
      <x:c r="R34" s="39"/>
      <x:c r="S34" s="39"/>
      <x:c r="T34" s="38" t="n">
        <x:f>L34+SUM(M34:S34)</x:f>
        <x:v>0.01222</x:v>
      </x:c>
      <x:c r="U34" s="39"/>
      <x:c r="V34" s="38" t="str">
        <x:f>IF(U34="","",T34-U34)</x:f>
      </x:c>
      <x:c r="W34" s="28"/>
    </x:row>
    <x:row r="35">
      <x:c r="A35" s="30" t="n">
        <x:v>35</x:v>
      </x:c>
      <x:c r="B35" s="30" t="n">
        <x:v>4</x:v>
      </x:c>
      <x:c r="C35" s="31" t="str">
        <x:f>REPT(" ",B35)&amp;TRIM(RIGHT(SUBSTITUTE(D35," ",REPT(" ",99)),99))</x:f>
        <x:v>    e5</x:v>
      </x:c>
      <x:c r="D35" s="18" t="str">
        <x:v>e4 c6 Nf3 g6 Nc3 d5 e5</x:v>
      </x:c>
      <x:c r="E35" s="18" t="str">
        <x:v>fma</x:v>
      </x:c>
      <x:c r="F35" s="34" t="str">
        <x:f>IF(COUNTIF($E$2:E35,E35)&gt;1,MATCH(E35,$E:$E,0),"")</x:f>
      </x:c>
      <x:c r="G35" s="34" t="str">
        <x:f>IF(F35="","",COUNTIF($F$2:F35,"&gt;0"))</x:f>
      </x:c>
      <x:c r="H35" s="34" t="n">
        <x:v>32</x:v>
      </x:c>
      <x:c r="I35" s="35" t="b">
        <x:v>1</x:v>
      </x:c>
      <x:c r="J35" s="38" t="n">
        <x:v>0.0746</x:v>
      </x:c>
      <x:c r="K35" s="38" t="n">
        <x:v>0.00243</x:v>
      </x:c>
      <x:c r="L35" s="38" t="n">
        <x:v>0.00243</x:v>
      </x:c>
      <x:c r="M35" s="39"/>
      <x:c r="N35" s="39"/>
      <x:c r="O35" s="39"/>
      <x:c r="P35" s="39"/>
      <x:c r="Q35" s="39"/>
      <x:c r="R35" s="39"/>
      <x:c r="S35" s="39"/>
      <x:c r="T35" s="38" t="n">
        <x:f>L35+SUM(M35:S35)</x:f>
        <x:v>0.00243</x:v>
      </x:c>
      <x:c r="U35" s="39"/>
      <x:c r="V35" s="38" t="str">
        <x:f>IF(U35="","",T35-U35)</x:f>
      </x:c>
      <x:c r="W35" s="28"/>
    </x:row>
    <x:row r="36">
      <x:c r="A36" s="30" t="n">
        <x:v>36</x:v>
      </x:c>
      <x:c r="B36" s="30" t="n">
        <x:v>4</x:v>
      </x:c>
      <x:c r="C36" s="31" t="str">
        <x:f>REPT(" ",B36)&amp;TRIM(RIGHT(SUBSTITUTE(D36," ",REPT(" ",99)),99))</x:f>
        <x:v>    d3</x:v>
      </x:c>
      <x:c r="D36" s="18" t="str">
        <x:v>e4 c6 Nf3 g6 Nc3 d5 d3</x:v>
      </x:c>
      <x:c r="E36" s="18" t="str">
        <x:v>npp</x:v>
      </x:c>
      <x:c r="F36" s="34" t="str">
        <x:f>IF(COUNTIF($E$2:E36,E36)&gt;1,MATCH(E36,$E:$E,0),"")</x:f>
      </x:c>
      <x:c r="G36" s="34" t="str">
        <x:f>IF(F36="","",COUNTIF($F$2:F36,"&gt;0"))</x:f>
      </x:c>
      <x:c r="H36" s="34" t="n">
        <x:v>32</x:v>
      </x:c>
      <x:c r="I36" s="35" t="b">
        <x:v>1</x:v>
      </x:c>
      <x:c r="J36" s="38" t="n">
        <x:v>0.06794</x:v>
      </x:c>
      <x:c r="K36" s="38" t="n">
        <x:v>0.00221</x:v>
      </x:c>
      <x:c r="L36" s="38" t="n">
        <x:v>0.00221</x:v>
      </x:c>
      <x:c r="M36" s="39"/>
      <x:c r="N36" s="39"/>
      <x:c r="O36" s="39"/>
      <x:c r="P36" s="39"/>
      <x:c r="Q36" s="39"/>
      <x:c r="R36" s="39"/>
      <x:c r="S36" s="39"/>
      <x:c r="T36" s="38" t="n">
        <x:f>L36+SUM(M36:S36)</x:f>
        <x:v>0.00221</x:v>
      </x:c>
      <x:c r="U36" s="39"/>
      <x:c r="V36" s="38" t="str">
        <x:f>IF(U36="","",T36-U36)</x:f>
      </x:c>
      <x:c r="W36" s="28"/>
    </x:row>
    <x:row r="37">
      <x:c r="A37" s="30" t="n">
        <x:v>37</x:v>
      </x:c>
      <x:c r="B37" s="30" t="n">
        <x:v>2</x:v>
      </x:c>
      <x:c r="C37" s="31" t="str">
        <x:f>REPT(" ",B37)&amp;TRIM(RIGHT(SUBSTITUTE(D37," ",REPT(" ",99)),99))</x:f>
        <x:v>  Bc4</x:v>
      </x:c>
      <x:c r="D37" s="18" t="str">
        <x:v>e4 c6 Bc4</x:v>
      </x:c>
      <x:c r="E37" s="18" t="str">
        <x:v>xss</x:v>
      </x:c>
      <x:c r="F37" s="34" t="str">
        <x:f>IF(COUNTIF($E$2:E37,E37)&gt;1,MATCH(E37,$E:$E,0),"")</x:f>
      </x:c>
      <x:c r="G37" s="34" t="str">
        <x:f>IF(F37="","",COUNTIF($F$2:F37,"&gt;0"))</x:f>
      </x:c>
      <x:c r="H37" s="34" t="n">
        <x:v>2</x:v>
      </x:c>
      <x:c r="I37" s="35" t="b">
        <x:v>0</x:v>
      </x:c>
      <x:c r="J37" s="38" t="n">
        <x:v>0.07805</x:v>
      </x:c>
      <x:c r="K37" s="38" t="n">
        <x:v>0.056420000000000005</x:v>
      </x:c>
      <x:c r="L37" s="38" t="n">
        <x:v>0.056420000000000005</x:v>
      </x:c>
      <x:c r="M37" s="39"/>
      <x:c r="N37" s="39"/>
      <x:c r="O37" s="39"/>
      <x:c r="P37" s="39"/>
      <x:c r="Q37" s="39"/>
      <x:c r="R37" s="39"/>
      <x:c r="S37" s="39"/>
      <x:c r="T37" s="38" t="n">
        <x:f>L37+SUM(M37:S37)</x:f>
        <x:v>0.056420000000000005</x:v>
      </x:c>
      <x:c r="U37" s="39"/>
      <x:c r="V37" s="38" t="str">
        <x:f>IF(U37="","",T37-U37)</x:f>
      </x:c>
      <x:c r="W37" s="28"/>
    </x:row>
    <x:row r="38">
      <x:c r="A38" s="30" t="n">
        <x:v>38</x:v>
      </x:c>
      <x:c r="B38" s="30" t="n">
        <x:v>3</x:v>
      </x:c>
      <x:c r="C38" s="31" t="str">
        <x:f>REPT(" ",B38)&amp;TRIM(RIGHT(SUBSTITUTE(D38," ",REPT(" ",99)),99))</x:f>
        <x:v>   exd5</x:v>
      </x:c>
      <x:c r="D38" s="18" t="str">
        <x:v>e4 c6 Bc4 d5 exd5</x:v>
      </x:c>
      <x:c r="E38" s="18" t="str">
        <x:v>phz</x:v>
      </x:c>
      <x:c r="F38" s="34" t="str">
        <x:f>IF(COUNTIF($E$2:E38,E38)&gt;1,MATCH(E38,$E:$E,0),"")</x:f>
      </x:c>
      <x:c r="G38" s="34" t="str">
        <x:f>IF(F38="","",COUNTIF($F$2:F38,"&gt;0"))</x:f>
      </x:c>
      <x:c r="H38" s="34" t="n">
        <x:v>37</x:v>
      </x:c>
      <x:c r="I38" s="35" t="b">
        <x:v>0</x:v>
      </x:c>
      <x:c r="J38" s="38" t="n">
        <x:v>1</x:v>
      </x:c>
      <x:c r="K38" s="38" t="n">
        <x:v>0.056420000000000005</x:v>
      </x:c>
      <x:c r="L38" s="38" t="n">
        <x:v>0.056420000000000005</x:v>
      </x:c>
      <x:c r="M38" s="39"/>
      <x:c r="N38" s="39"/>
      <x:c r="O38" s="39"/>
      <x:c r="P38" s="39"/>
      <x:c r="Q38" s="39"/>
      <x:c r="R38" s="39"/>
      <x:c r="S38" s="39"/>
      <x:c r="T38" s="38" t="n">
        <x:f>L38+SUM(M38:S38)</x:f>
        <x:v>0.056420000000000005</x:v>
      </x:c>
      <x:c r="U38" s="39"/>
      <x:c r="V38" s="38" t="str">
        <x:f>IF(U38="","",T38-U38)</x:f>
      </x:c>
      <x:c r="W38" s="28"/>
    </x:row>
    <x:row r="39">
      <x:c r="A39" s="30" t="n">
        <x:v>39</x:v>
      </x:c>
      <x:c r="B39" s="30" t="n">
        <x:v>4</x:v>
      </x:c>
      <x:c r="C39" s="31" t="str">
        <x:f>REPT(" ",B39)&amp;TRIM(RIGHT(SUBSTITUTE(D39," ",REPT(" ",99)),99))</x:f>
        <x:v>    Bb3</x:v>
      </x:c>
      <x:c r="D39" s="18" t="str">
        <x:v>e4 c6 Bc4 d5 exd5 cxd5 Bb3</x:v>
      </x:c>
      <x:c r="E39" s="18" t="str">
        <x:v>pzn</x:v>
      </x:c>
      <x:c r="F39" s="34" t="str">
        <x:f>IF(COUNTIF($E$2:E39,E39)&gt;1,MATCH(E39,$E:$E,0),"")</x:f>
      </x:c>
      <x:c r="G39" s="34" t="str">
        <x:f>IF(F39="","",COUNTIF($F$2:F39,"&gt;0"))</x:f>
      </x:c>
      <x:c r="H39" s="34" t="n">
        <x:v>38</x:v>
      </x:c>
      <x:c r="I39" s="35" t="b">
        <x:v>1</x:v>
      </x:c>
      <x:c r="J39" s="38" t="n">
        <x:v>0.70982</x:v>
      </x:c>
      <x:c r="K39" s="38" t="n">
        <x:v>0.04005</x:v>
      </x:c>
      <x:c r="L39" s="38" t="n">
        <x:v>0.04005</x:v>
      </x:c>
      <x:c r="M39" s="39"/>
      <x:c r="N39" s="39"/>
      <x:c r="O39" s="39"/>
      <x:c r="P39" s="39"/>
      <x:c r="Q39" s="39"/>
      <x:c r="R39" s="39"/>
      <x:c r="S39" s="39"/>
      <x:c r="T39" s="38" t="n">
        <x:f>L39+SUM(M39:S39)</x:f>
        <x:v>0.04005</x:v>
      </x:c>
      <x:c r="U39" s="39"/>
      <x:c r="V39" s="38" t="str">
        <x:f>IF(U39="","",T39-U39)</x:f>
      </x:c>
      <x:c r="W39" s="28"/>
    </x:row>
    <x:row r="40">
      <x:c r="A40" s="30" t="n">
        <x:v>40</x:v>
      </x:c>
      <x:c r="B40" s="30" t="n">
        <x:v>4</x:v>
      </x:c>
      <x:c r="C40" s="31" t="str">
        <x:f>REPT(" ",B40)&amp;TRIM(RIGHT(SUBSTITUTE(D40," ",REPT(" ",99)),99))</x:f>
        <x:v>    Bb5+</x:v>
      </x:c>
      <x:c r="D40" s="18" t="str">
        <x:v>e4 c6 Bc4 d5 exd5 cxd5 Bb5+</x:v>
      </x:c>
      <x:c r="E40" s="18" t="str">
        <x:v>gdd</x:v>
      </x:c>
      <x:c r="F40" s="34" t="str">
        <x:f>IF(COUNTIF($E$2:E40,E40)&gt;1,MATCH(E40,$E:$E,0),"")</x:f>
      </x:c>
      <x:c r="G40" s="34" t="str">
        <x:f>IF(F40="","",COUNTIF($F$2:F40,"&gt;0"))</x:f>
      </x:c>
      <x:c r="H40" s="34" t="n">
        <x:v>38</x:v>
      </x:c>
      <x:c r="I40" s="35" t="b">
        <x:v>1</x:v>
      </x:c>
      <x:c r="J40" s="38" t="n">
        <x:v>0.29018</x:v>
      </x:c>
      <x:c r="K40" s="38" t="n">
        <x:v>0.01637</x:v>
      </x:c>
      <x:c r="L40" s="38" t="n">
        <x:v>0.01637</x:v>
      </x:c>
      <x:c r="M40" s="39"/>
      <x:c r="N40" s="39"/>
      <x:c r="O40" s="39"/>
      <x:c r="P40" s="39"/>
      <x:c r="Q40" s="39"/>
      <x:c r="R40" s="39"/>
      <x:c r="S40" s="39"/>
      <x:c r="T40" s="38" t="n">
        <x:f>L40+SUM(M40:S40)</x:f>
        <x:v>0.01637</x:v>
      </x:c>
      <x:c r="U40" s="39"/>
      <x:c r="V40" s="38" t="str">
        <x:f>IF(U40="","",T40-U40)</x:f>
      </x:c>
      <x:c r="W40" s="28"/>
    </x:row>
    <x:row r="41">
      <x:c r="A41" s="30" t="n">
        <x:v>41</x:v>
      </x:c>
      <x:c r="B41" s="30" t="n">
        <x:v>2</x:v>
      </x:c>
      <x:c r="C41" s="31" t="str">
        <x:f>REPT(" ",B41)&amp;TRIM(RIGHT(SUBSTITUTE(D41," ",REPT(" ",99)),99))</x:f>
        <x:v>  Nc3</x:v>
      </x:c>
      <x:c r="D41" s="18" t="str">
        <x:v>e4 c6 Nc3</x:v>
      </x:c>
      <x:c r="E41" s="18" t="str">
        <x:v>vnl</x:v>
      </x:c>
      <x:c r="F41" s="34" t="str">
        <x:f>IF(COUNTIF($E$2:E41,E41)&gt;1,MATCH(E41,$E:$E,0),"")</x:f>
      </x:c>
      <x:c r="G41" s="34" t="str">
        <x:f>IF(F41="","",COUNTIF($F$2:F41,"&gt;0"))</x:f>
      </x:c>
      <x:c r="H41" s="34" t="n">
        <x:v>2</x:v>
      </x:c>
      <x:c r="I41" s="35" t="b">
        <x:v>0</x:v>
      </x:c>
      <x:c r="J41" s="38" t="n">
        <x:v>0.06426</x:v>
      </x:c>
      <x:c r="K41" s="38" t="n">
        <x:v>0.04645</x:v>
      </x:c>
      <x:c r="L41" s="38" t="n">
        <x:v>0.04645</x:v>
      </x:c>
      <x:c r="M41" s="39"/>
      <x:c r="N41" s="39"/>
      <x:c r="O41" s="39"/>
      <x:c r="P41" s="39"/>
      <x:c r="Q41" s="39"/>
      <x:c r="R41" s="39"/>
      <x:c r="S41" s="39"/>
      <x:c r="T41" s="38" t="n">
        <x:f>L41+SUM(M41:S41)</x:f>
        <x:v>0.04645</x:v>
      </x:c>
      <x:c r="U41" s="39"/>
      <x:c r="V41" s="38" t="str">
        <x:f>IF(U41="","",T41-U41)</x:f>
      </x:c>
      <x:c r="W41" s="28"/>
    </x:row>
    <x:row r="42">
      <x:c r="A42" s="30" t="n">
        <x:v>42</x:v>
      </x:c>
      <x:c r="B42" s="30" t="n">
        <x:v>3</x:v>
      </x:c>
      <x:c r="C42" s="31" t="str">
        <x:f>REPT(" ",B42)&amp;TRIM(RIGHT(SUBSTITUTE(D42," ",REPT(" ",99)),99))</x:f>
        <x:v>   exd5</x:v>
      </x:c>
      <x:c r="D42" s="18" t="str">
        <x:v>e4 c6 Nc3 d5 exd5</x:v>
      </x:c>
      <x:c r="E42" s="18" t="str">
        <x:v>hgg</x:v>
      </x:c>
      <x:c r="F42" s="34" t="str">
        <x:f>IF(COUNTIF($E$2:E42,E42)&gt;1,MATCH(E42,$E:$E,0),"")</x:f>
      </x:c>
      <x:c r="G42" s="34" t="str">
        <x:f>IF(F42="","",COUNTIF($F$2:F42,"&gt;0"))</x:f>
      </x:c>
      <x:c r="H42" s="34" t="n">
        <x:v>41</x:v>
      </x:c>
      <x:c r="I42" s="35" t="b">
        <x:v>0</x:v>
      </x:c>
      <x:c r="J42" s="38" t="n">
        <x:v>0.5254</x:v>
      </x:c>
      <x:c r="K42" s="38" t="n">
        <x:v>0.024399999999999998</x:v>
      </x:c>
      <x:c r="L42" s="38" t="n">
        <x:v>0.024399999999999998</x:v>
      </x:c>
      <x:c r="M42" s="39"/>
      <x:c r="N42" s="39"/>
      <x:c r="O42" s="39"/>
      <x:c r="P42" s="39"/>
      <x:c r="Q42" s="39"/>
      <x:c r="R42" s="39"/>
      <x:c r="S42" s="39"/>
      <x:c r="T42" s="38" t="n">
        <x:f>L42+SUM(M42:S42)</x:f>
        <x:v>0.024399999999999998</x:v>
      </x:c>
      <x:c r="U42" s="39"/>
      <x:c r="V42" s="38" t="str">
        <x:f>IF(U42="","",T42-U42)</x:f>
      </x:c>
      <x:c r="W42" s="28"/>
    </x:row>
    <x:row r="43">
      <x:c r="A43" s="30" t="n">
        <x:v>43</x:v>
      </x:c>
      <x:c r="B43" s="30" t="n">
        <x:v>4</x:v>
      </x:c>
      <x:c r="C43" s="31" t="str">
        <x:f>REPT(" ",B43)&amp;TRIM(RIGHT(SUBSTITUTE(D43," ",REPT(" ",99)),99))</x:f>
        <x:v>    d4</x:v>
      </x:c>
      <x:c r="D43" s="18" t="str">
        <x:v>e4 c6 Nc3 d5 exd5 cxd5 d4</x:v>
      </x:c>
      <x:c r="E43" s="18" t="str">
        <x:v>ohc</x:v>
      </x:c>
      <x:c r="F43" s="34" t="str">
        <x:f>IF(COUNTIF($E$2:E43,E43)&gt;1,MATCH(E43,$E:$E,0),"")</x:f>
      </x:c>
      <x:c r="G43" s="34" t="str">
        <x:f>IF(F43="","",COUNTIF($F$2:F43,"&gt;0"))</x:f>
      </x:c>
      <x:c r="H43" s="34" t="n">
        <x:v>42</x:v>
      </x:c>
      <x:c r="I43" s="35" t="b">
        <x:v>1</x:v>
      </x:c>
      <x:c r="J43" s="38" t="n">
        <x:v>0.7917799999999999</x:v>
      </x:c>
      <x:c r="K43" s="38" t="n">
        <x:v>0.01932</x:v>
      </x:c>
      <x:c r="L43" s="38" t="n">
        <x:v>0.01932</x:v>
      </x:c>
      <x:c r="M43" s="39"/>
      <x:c r="N43" s="39"/>
      <x:c r="O43" s="39"/>
      <x:c r="P43" s="39"/>
      <x:c r="Q43" s="39"/>
      <x:c r="R43" s="39"/>
      <x:c r="S43" s="39"/>
      <x:c r="T43" s="38" t="n">
        <x:f>L43+SUM(M43:S43)</x:f>
        <x:v>0.01932</x:v>
      </x:c>
      <x:c r="U43" s="39"/>
      <x:c r="V43" s="38" t="str">
        <x:f>IF(U43="","",T43-U43)</x:f>
      </x:c>
      <x:c r="W43" s="28"/>
    </x:row>
    <x:row r="44">
      <x:c r="A44" s="30" t="n">
        <x:v>44</x:v>
      </x:c>
      <x:c r="B44" s="30" t="n">
        <x:v>4</x:v>
      </x:c>
      <x:c r="C44" s="31" t="str">
        <x:f>REPT(" ",B44)&amp;TRIM(RIGHT(SUBSTITUTE(D44," ",REPT(" ",99)),99))</x:f>
        <x:v>    Bb5+</x:v>
      </x:c>
      <x:c r="D44" s="18" t="str">
        <x:v>e4 c6 Nc3 d5 exd5 cxd5 Bb5+</x:v>
      </x:c>
      <x:c r="E44" s="18" t="str">
        <x:v>roe</x:v>
      </x:c>
      <x:c r="F44" s="34" t="str">
        <x:f>IF(COUNTIF($E$2:E44,E44)&gt;1,MATCH(E44,$E:$E,0),"")</x:f>
      </x:c>
      <x:c r="G44" s="34" t="str">
        <x:f>IF(F44="","",COUNTIF($F$2:F44,"&gt;0"))</x:f>
      </x:c>
      <x:c r="H44" s="34" t="n">
        <x:v>42</x:v>
      </x:c>
      <x:c r="I44" s="35" t="b">
        <x:v>1</x:v>
      </x:c>
      <x:c r="J44" s="38" t="n">
        <x:v>0.11292999999999999</x:v>
      </x:c>
      <x:c r="K44" s="38" t="n">
        <x:v>0.0027600000000000003</x:v>
      </x:c>
      <x:c r="L44" s="38" t="n">
        <x:v>0.0027600000000000003</x:v>
      </x:c>
      <x:c r="M44" s="39"/>
      <x:c r="N44" s="39"/>
      <x:c r="O44" s="39"/>
      <x:c r="P44" s="39"/>
      <x:c r="Q44" s="39"/>
      <x:c r="R44" s="39"/>
      <x:c r="S44" s="39"/>
      <x:c r="T44" s="38" t="n">
        <x:f>L44+SUM(M44:S44)</x:f>
        <x:v>0.0027600000000000003</x:v>
      </x:c>
      <x:c r="U44" s="39"/>
      <x:c r="V44" s="38" t="str">
        <x:f>IF(U44="","",T44-U44)</x:f>
      </x:c>
      <x:c r="W44" s="28"/>
    </x:row>
    <x:row r="45">
      <x:c r="A45" s="30" t="n">
        <x:v>45</x:v>
      </x:c>
      <x:c r="B45" s="30" t="n">
        <x:v>4</x:v>
      </x:c>
      <x:c r="C45" s="31" t="str">
        <x:f>REPT(" ",B45)&amp;TRIM(RIGHT(SUBSTITUTE(D45," ",REPT(" ",99)),99))</x:f>
        <x:v>    Nf3</x:v>
      </x:c>
      <x:c r="D45" s="18" t="str">
        <x:v>e4 c6 Nc3 d5 exd5 cxd5 Nf3</x:v>
      </x:c>
      <x:c r="E45" s="18" t="str">
        <x:v>nfi</x:v>
      </x:c>
      <x:c r="F45" s="34" t="str">
        <x:f>IF(COUNTIF($E$2:E45,E45)&gt;1,MATCH(E45,$E:$E,0),"")</x:f>
      </x:c>
      <x:c r="G45" s="34" t="str">
        <x:f>IF(F45="","",COUNTIF($F$2:F45,"&gt;0"))</x:f>
      </x:c>
      <x:c r="H45" s="34" t="n">
        <x:v>42</x:v>
      </x:c>
      <x:c r="I45" s="35" t="b">
        <x:v>1</x:v>
      </x:c>
      <x:c r="J45" s="38" t="n">
        <x:v>0.09529</x:v>
      </x:c>
      <x:c r="K45" s="38" t="n">
        <x:v>0.00233</x:v>
      </x:c>
      <x:c r="L45" s="38" t="n">
        <x:v>0.00233</x:v>
      </x:c>
      <x:c r="M45" s="39"/>
      <x:c r="N45" s="39"/>
      <x:c r="O45" s="39"/>
      <x:c r="P45" s="39"/>
      <x:c r="Q45" s="39"/>
      <x:c r="R45" s="39"/>
      <x:c r="S45" s="39"/>
      <x:c r="T45" s="38" t="n">
        <x:f>L45+SUM(M45:S45)</x:f>
        <x:v>0.00233</x:v>
      </x:c>
      <x:c r="U45" s="39"/>
      <x:c r="V45" s="38" t="str">
        <x:f>IF(U45="","",T45-U45)</x:f>
      </x:c>
      <x:c r="W45" s="28"/>
    </x:row>
    <x:row r="46">
      <x:c r="A46" s="30" t="n">
        <x:v>46</x:v>
      </x:c>
      <x:c r="B46" s="30" t="n">
        <x:v>3</x:v>
      </x:c>
      <x:c r="C46" s="31" t="str">
        <x:f>REPT(" ",B46)&amp;TRIM(RIGHT(SUBSTITUTE(D46," ",REPT(" ",99)),99))</x:f>
        <x:v>   Nf3</x:v>
      </x:c>
      <x:c r="D46" s="18" t="str">
        <x:v>e4 c6 Nc3 d5 Nf3</x:v>
      </x:c>
      <x:c r="E46" s="18" t="str">
        <x:v>nno</x:v>
      </x:c>
      <x:c r="F46" s="34" t="str">
        <x:f>IF(COUNTIF($E$2:E46,E46)&gt;1,MATCH(E46,$E:$E,0),"")</x:f>
      </x:c>
      <x:c r="G46" s="34" t="str">
        <x:f>IF(F46="","",COUNTIF($F$2:F46,"&gt;0"))</x:f>
      </x:c>
      <x:c r="H46" s="34" t="n">
        <x:v>41</x:v>
      </x:c>
      <x:c r="I46" s="35" t="b">
        <x:v>0</x:v>
      </x:c>
      <x:c r="J46" s="38" t="n">
        <x:v>0.33301000000000003</x:v>
      </x:c>
      <x:c r="K46" s="38" t="n">
        <x:v>0.01547</x:v>
      </x:c>
      <x:c r="L46" s="38" t="n">
        <x:v>0.01547</x:v>
      </x:c>
      <x:c r="M46" s="39"/>
      <x:c r="N46" s="39"/>
      <x:c r="O46" s="39"/>
      <x:c r="P46" s="39"/>
      <x:c r="Q46" s="39"/>
      <x:c r="R46" s="39"/>
      <x:c r="S46" s="39"/>
      <x:c r="T46" s="38" t="n">
        <x:f>L46+SUM(M46:S46)</x:f>
        <x:v>0.01547</x:v>
      </x:c>
      <x:c r="U46" s="39"/>
      <x:c r="V46" s="38" t="str">
        <x:f>IF(U46="","",T46-U46)</x:f>
      </x:c>
      <x:c r="W46" s="28"/>
    </x:row>
    <x:row r="47">
      <x:c r="A47" s="30" t="n">
        <x:v>47</x:v>
      </x:c>
      <x:c r="B47" s="30" t="n">
        <x:v>4</x:v>
      </x:c>
      <x:c r="C47" s="31" t="str">
        <x:f>REPT(" ",B47)&amp;TRIM(RIGHT(SUBSTITUTE(D47," ",REPT(" ",99)),99))</x:f>
        <x:v>    d4</x:v>
      </x:c>
      <x:c r="D47" s="18" t="str">
        <x:v>e4 c6 Nc3 d5 Nf3 h6 d4</x:v>
      </x:c>
      <x:c r="E47" s="18" t="str">
        <x:v>uud</x:v>
      </x:c>
      <x:c r="F47" s="34" t="str">
        <x:f>IF(COUNTIF($E$2:E47,E47)&gt;1,MATCH(E47,$E:$E,0),"")</x:f>
      </x:c>
      <x:c r="G47" s="34" t="str">
        <x:f>IF(F47="","",COUNTIF($F$2:F47,"&gt;0"))</x:f>
      </x:c>
      <x:c r="H47" s="34" t="n">
        <x:v>46</x:v>
      </x:c>
      <x:c r="I47" s="35" t="b">
        <x:v>1</x:v>
      </x:c>
      <x:c r="J47" s="38" t="n">
        <x:v>0.5062599999999999</x:v>
      </x:c>
      <x:c r="K47" s="38" t="n">
        <x:v>0.00783</x:v>
      </x:c>
      <x:c r="L47" s="38" t="n">
        <x:v>0.00783</x:v>
      </x:c>
      <x:c r="M47" s="39"/>
      <x:c r="N47" s="39"/>
      <x:c r="O47" s="39"/>
      <x:c r="P47" s="39"/>
      <x:c r="Q47" s="39"/>
      <x:c r="R47" s="39"/>
      <x:c r="S47" s="39"/>
      <x:c r="T47" s="38" t="n">
        <x:f>L47+SUM(M47:S47)</x:f>
        <x:v>0.00783</x:v>
      </x:c>
      <x:c r="U47" s="39"/>
      <x:c r="V47" s="38" t="str">
        <x:f>IF(U47="","",T47-U47)</x:f>
      </x:c>
      <x:c r="W47" s="28"/>
    </x:row>
    <x:row r="48">
      <x:c r="A48" s="30" t="n">
        <x:v>48</x:v>
      </x:c>
      <x:c r="B48" s="30" t="n">
        <x:v>4</x:v>
      </x:c>
      <x:c r="C48" s="31" t="str">
        <x:f>REPT(" ",B48)&amp;TRIM(RIGHT(SUBSTITUTE(D48," ",REPT(" ",99)),99))</x:f>
        <x:v>    exd5</x:v>
      </x:c>
      <x:c r="D48" s="18" t="str">
        <x:v>e4 c6 Nc3 d5 Nf3 h6 exd5</x:v>
      </x:c>
      <x:c r="E48" s="18" t="str">
        <x:v>bmx</x:v>
      </x:c>
      <x:c r="F48" s="34" t="str">
        <x:f>IF(COUNTIF($E$2:E48,E48)&gt;1,MATCH(E48,$E:$E,0),"")</x:f>
      </x:c>
      <x:c r="G48" s="34" t="str">
        <x:f>IF(F48="","",COUNTIF($F$2:F48,"&gt;0"))</x:f>
      </x:c>
      <x:c r="H48" s="34" t="n">
        <x:v>46</x:v>
      </x:c>
      <x:c r="I48" s="35" t="b">
        <x:v>1</x:v>
      </x:c>
      <x:c r="J48" s="38" t="n">
        <x:v>0.36085</x:v>
      </x:c>
      <x:c r="K48" s="38" t="n">
        <x:v>0.005580000000000001</x:v>
      </x:c>
      <x:c r="L48" s="38" t="n">
        <x:v>0.005580000000000001</x:v>
      </x:c>
      <x:c r="M48" s="39"/>
      <x:c r="N48" s="39"/>
      <x:c r="O48" s="39"/>
      <x:c r="P48" s="39"/>
      <x:c r="Q48" s="39"/>
      <x:c r="R48" s="39"/>
      <x:c r="S48" s="39"/>
      <x:c r="T48" s="38" t="n">
        <x:f>L48+SUM(M48:S48)</x:f>
        <x:v>0.005580000000000001</x:v>
      </x:c>
      <x:c r="U48" s="39"/>
      <x:c r="V48" s="38" t="str">
        <x:f>IF(U48="","",T48-U48)</x:f>
      </x:c>
      <x:c r="W48" s="28"/>
    </x:row>
    <x:row r="49">
      <x:c r="A49" s="30" t="n">
        <x:v>49</x:v>
      </x:c>
      <x:c r="B49" s="30" t="n">
        <x:v>4</x:v>
      </x:c>
      <x:c r="C49" s="31" t="str">
        <x:f>REPT(" ",B49)&amp;TRIM(RIGHT(SUBSTITUTE(D49," ",REPT(" ",99)),99))</x:f>
        <x:v>    h3</x:v>
      </x:c>
      <x:c r="D49" s="18" t="str">
        <x:v>e4 c6 Nc3 d5 Nf3 h6 h3</x:v>
      </x:c>
      <x:c r="E49" s="18" t="str">
        <x:v>kzd</x:v>
      </x:c>
      <x:c r="F49" s="34" t="str">
        <x:f>IF(COUNTIF($E$2:E49,E49)&gt;1,MATCH(E49,$E:$E,0),"")</x:f>
      </x:c>
      <x:c r="G49" s="34" t="str">
        <x:f>IF(F49="","",COUNTIF($F$2:F49,"&gt;0"))</x:f>
      </x:c>
      <x:c r="H49" s="34" t="n">
        <x:v>46</x:v>
      </x:c>
      <x:c r="I49" s="35" t="b">
        <x:v>1</x:v>
      </x:c>
      <x:c r="J49" s="38" t="n">
        <x:v>0.07002</x:v>
      </x:c>
      <x:c r="K49" s="38" t="n">
        <x:v>0.00108</x:v>
      </x:c>
      <x:c r="L49" s="38" t="n">
        <x:v>0.00108</x:v>
      </x:c>
      <x:c r="M49" s="39"/>
      <x:c r="N49" s="39"/>
      <x:c r="O49" s="39"/>
      <x:c r="P49" s="39"/>
      <x:c r="Q49" s="39"/>
      <x:c r="R49" s="39"/>
      <x:c r="S49" s="39"/>
      <x:c r="T49" s="38" t="n">
        <x:f>L49+SUM(M49:S49)</x:f>
        <x:v>0.00108</x:v>
      </x:c>
      <x:c r="U49" s="39"/>
      <x:c r="V49" s="38" t="str">
        <x:f>IF(U49="","",T49-U49)</x:f>
      </x:c>
      <x:c r="W49" s="28"/>
    </x:row>
    <x:row r="50">
      <x:c r="A50" s="30" t="n">
        <x:v>50</x:v>
      </x:c>
      <x:c r="B50" s="30" t="n">
        <x:v>4</x:v>
      </x:c>
      <x:c r="C50" s="31" t="str">
        <x:f>REPT(" ",B50)&amp;TRIM(RIGHT(SUBSTITUTE(D50," ",REPT(" ",99)),99))</x:f>
        <x:v>    d3</x:v>
      </x:c>
      <x:c r="D50" s="18" t="str">
        <x:v>e4 c6 Nc3 d5 Nf3 h6 d3</x:v>
      </x:c>
      <x:c r="E50" s="18" t="str">
        <x:v>xbv</x:v>
      </x:c>
      <x:c r="F50" s="34" t="str">
        <x:f>IF(COUNTIF($E$2:E50,E50)&gt;1,MATCH(E50,$E:$E,0),"")</x:f>
      </x:c>
      <x:c r="G50" s="34" t="str">
        <x:f>IF(F50="","",COUNTIF($F$2:F50,"&gt;0"))</x:f>
      </x:c>
      <x:c r="H50" s="34" t="n">
        <x:v>46</x:v>
      </x:c>
      <x:c r="I50" s="35" t="b">
        <x:v>1</x:v>
      </x:c>
      <x:c r="J50" s="38" t="n">
        <x:v>0.06287</x:v>
      </x:c>
      <x:c r="K50" s="38" t="n">
        <x:v>0.00097</x:v>
      </x:c>
      <x:c r="L50" s="38" t="n">
        <x:v>0.00097</x:v>
      </x:c>
      <x:c r="M50" s="39"/>
      <x:c r="N50" s="39"/>
      <x:c r="O50" s="39"/>
      <x:c r="P50" s="39"/>
      <x:c r="Q50" s="39"/>
      <x:c r="R50" s="39"/>
      <x:c r="S50" s="39"/>
      <x:c r="T50" s="38" t="n">
        <x:f>L50+SUM(M50:S50)</x:f>
        <x:v>0.00097</x:v>
      </x:c>
      <x:c r="U50" s="39"/>
      <x:c r="V50" s="38" t="str">
        <x:f>IF(U50="","",T50-U50)</x:f>
      </x:c>
      <x:c r="W50" s="28"/>
    </x:row>
    <x:row r="51">
      <x:c r="A51" s="30" t="n">
        <x:v>51</x:v>
      </x:c>
      <x:c r="B51" s="30" t="n">
        <x:v>3</x:v>
      </x:c>
      <x:c r="C51" s="31" t="str">
        <x:f>REPT(" ",B51)&amp;TRIM(RIGHT(SUBSTITUTE(D51," ",REPT(" ",99)),99))</x:f>
        <x:v>   d4</x:v>
      </x:c>
      <x:c r="D51" s="18" t="str">
        <x:v>e4 c6 Nc3 d5 d4</x:v>
      </x:c>
      <x:c r="E51" s="18" t="str">
        <x:v>qfb</x:v>
      </x:c>
      <x:c r="F51" s="34" t="n">
        <x:f>IF(COUNTIF($E$2:E51,E51)&gt;1,MATCH(E51,$E:$E,0),"")</x:f>
        <x:v>15</x:v>
      </x:c>
      <x:c r="G51" s="34" t="n">
        <x:f>IF(F51="","",COUNTIF($F$2:F51,"&gt;0"))</x:f>
        <x:v>2</x:v>
      </x:c>
      <x:c r="H51" s="34" t="n">
        <x:v>41</x:v>
      </x:c>
      <x:c r="I51" s="35" t="b">
        <x:v>1</x:v>
      </x:c>
      <x:c r="J51" s="38" t="n">
        <x:v>0.14157999999999998</x:v>
      </x:c>
      <x:c r="K51" s="38" t="n">
        <x:v>0.00658</x:v>
      </x:c>
      <x:c r="L51" s="38" t="n">
        <x:v>0.00658</x:v>
      </x:c>
      <x:c r="M51" s="39"/>
      <x:c r="N51" s="39"/>
      <x:c r="O51" s="39"/>
      <x:c r="P51" s="39"/>
      <x:c r="Q51" s="39"/>
      <x:c r="R51" s="39"/>
      <x:c r="S51" s="39"/>
      <x:c r="T51" s="38" t="n">
        <x:f>L51+SUM(M51:S51)</x:f>
        <x:v>0.00658</x:v>
      </x:c>
      <x:c r="U51" s="39"/>
      <x:c r="V51" s="38" t="str">
        <x:f>IF(U51="","",T51-U51)</x:f>
      </x:c>
      <x:c r="W51" s="28"/>
    </x:row>
    <x:row r="52">
      <x:c r="A52" s="30" t="n">
        <x:v>52</x:v>
      </x:c>
      <x:c r="B52" s="30" t="n">
        <x:v>1</x:v>
      </x:c>
      <x:c r="C52" s="31" t="str">
        <x:f>REPT(" ",B52)&amp;TRIM(RIGHT(SUBSTITUTE(D52," ",REPT(" ",99)),99))</x:f>
        <x:v> d4</x:v>
      </x:c>
      <x:c r="D52" s="18" t="str">
        <x:v>d4</x:v>
      </x:c>
      <x:c r="E52" s="18" t="str">
        <x:v>uda</x:v>
      </x:c>
      <x:c r="F52" s="34" t="str">
        <x:f>IF(COUNTIF($E$2:E52,E52)&gt;1,MATCH(E52,$E:$E,0),"")</x:f>
      </x:c>
      <x:c r="G52" s="34" t="str">
        <x:f>IF(F52="","",COUNTIF($F$2:F52,"&gt;0"))</x:f>
      </x:c>
      <x:c r="H52" s="34"/>
      <x:c r="I52" s="35" t="b">
        <x:v>0</x:v>
      </x:c>
      <x:c r="J52" s="38" t="n">
        <x:v>0.27712</x:v>
      </x:c>
      <x:c r="K52" s="38" t="n">
        <x:v>0.27712</x:v>
      </x:c>
      <x:c r="L52" s="38" t="n">
        <x:v>0.27712</x:v>
      </x:c>
      <x:c r="M52" s="39"/>
      <x:c r="N52" s="39"/>
      <x:c r="O52" s="39"/>
      <x:c r="P52" s="39"/>
      <x:c r="Q52" s="39"/>
      <x:c r="R52" s="39"/>
      <x:c r="S52" s="39"/>
      <x:c r="T52" s="38" t="n">
        <x:f>L52+SUM(M52:S52)</x:f>
        <x:v>0.27712</x:v>
      </x:c>
      <x:c r="U52" s="39"/>
      <x:c r="V52" s="38" t="str">
        <x:f>IF(U52="","",T52-U52)</x:f>
      </x:c>
      <x:c r="W52" s="28"/>
    </x:row>
    <x:row r="53">
      <x:c r="A53" s="30" t="n">
        <x:v>53</x:v>
      </x:c>
      <x:c r="B53" s="30" t="n">
        <x:v>2</x:v>
      </x:c>
      <x:c r="C53" s="31" t="str">
        <x:f>REPT(" ",B53)&amp;TRIM(RIGHT(SUBSTITUTE(D53," ",REPT(" ",99)),99))</x:f>
        <x:v>  c4</x:v>
      </x:c>
      <x:c r="D53" s="18" t="str">
        <x:v>d4 d5 c4</x:v>
      </x:c>
      <x:c r="E53" s="18" t="str">
        <x:v>xdv</x:v>
      </x:c>
      <x:c r="F53" s="34" t="str">
        <x:f>IF(COUNTIF($E$2:E53,E53)&gt;1,MATCH(E53,$E:$E,0),"")</x:f>
      </x:c>
      <x:c r="G53" s="34" t="str">
        <x:f>IF(F53="","",COUNTIF($F$2:F53,"&gt;0"))</x:f>
      </x:c>
      <x:c r="H53" s="34" t="n">
        <x:v>52</x:v>
      </x:c>
      <x:c r="I53" s="35" t="b">
        <x:v>0</x:v>
      </x:c>
      <x:c r="J53" s="38" t="n">
        <x:v>0.46808</x:v>
      </x:c>
      <x:c r="K53" s="38" t="n">
        <x:v>0.12972</x:v>
      </x:c>
      <x:c r="L53" s="38" t="n">
        <x:v>0.12972</x:v>
      </x:c>
      <x:c r="M53" s="39"/>
      <x:c r="N53" s="39"/>
      <x:c r="O53" s="39"/>
      <x:c r="P53" s="39"/>
      <x:c r="Q53" s="39"/>
      <x:c r="R53" s="39"/>
      <x:c r="S53" s="39"/>
      <x:c r="T53" s="38" t="n">
        <x:f>L53+SUM(M53:S53)</x:f>
        <x:v>0.12972</x:v>
      </x:c>
      <x:c r="U53" s="39"/>
      <x:c r="V53" s="38" t="str">
        <x:f>IF(U53="","",T53-U53)</x:f>
      </x:c>
      <x:c r="W53" s="28"/>
    </x:row>
    <x:row r="54">
      <x:c r="A54" s="30" t="n">
        <x:v>54</x:v>
      </x:c>
      <x:c r="B54" s="30" t="n">
        <x:v>3</x:v>
      </x:c>
      <x:c r="C54" s="31" t="str">
        <x:f>REPT(" ",B54)&amp;TRIM(RIGHT(SUBSTITUTE(D54," ",REPT(" ",99)),99))</x:f>
        <x:v>   Nc3</x:v>
      </x:c>
      <x:c r="D54" s="18" t="str">
        <x:v>d4 d5 c4 dxc4 Nc3</x:v>
      </x:c>
      <x:c r="E54" s="18" t="str">
        <x:v>ryi</x:v>
      </x:c>
      <x:c r="F54" s="34" t="str">
        <x:f>IF(COUNTIF($E$2:E54,E54)&gt;1,MATCH(E54,$E:$E,0),"")</x:f>
      </x:c>
      <x:c r="G54" s="34" t="str">
        <x:f>IF(F54="","",COUNTIF($F$2:F54,"&gt;0"))</x:f>
      </x:c>
      <x:c r="H54" s="34" t="n">
        <x:v>53</x:v>
      </x:c>
      <x:c r="I54" s="35" t="b">
        <x:v>0</x:v>
      </x:c>
      <x:c r="J54" s="38" t="n">
        <x:v>0.3296</x:v>
      </x:c>
      <x:c r="K54" s="38" t="n">
        <x:v>0.04276</x:v>
      </x:c>
      <x:c r="L54" s="38" t="n">
        <x:v>0.04276</x:v>
      </x:c>
      <x:c r="M54" s="39"/>
      <x:c r="N54" s="39"/>
      <x:c r="O54" s="39"/>
      <x:c r="P54" s="39"/>
      <x:c r="Q54" s="39"/>
      <x:c r="R54" s="39"/>
      <x:c r="S54" s="39"/>
      <x:c r="T54" s="38" t="n">
        <x:f>L54+SUM(M54:S54)</x:f>
        <x:v>0.04276</x:v>
      </x:c>
      <x:c r="U54" s="39"/>
      <x:c r="V54" s="38" t="str">
        <x:f>IF(U54="","",T54-U54)</x:f>
      </x:c>
      <x:c r="W54" s="28"/>
    </x:row>
    <x:row r="55">
      <x:c r="A55" s="30" t="n">
        <x:v>55</x:v>
      </x:c>
      <x:c r="B55" s="30" t="n">
        <x:v>4</x:v>
      </x:c>
      <x:c r="C55" s="31" t="str">
        <x:f>REPT(" ",B55)&amp;TRIM(RIGHT(SUBSTITUTE(D55," ",REPT(" ",99)),99))</x:f>
        <x:v>    a4</x:v>
      </x:c>
      <x:c r="D55" s="18" t="str">
        <x:v>d4 d5 c4 dxc4 Nc3 a6 a4</x:v>
      </x:c>
      <x:c r="E55" s="18" t="str">
        <x:v>djn</x:v>
      </x:c>
      <x:c r="F55" s="34" t="str">
        <x:f>IF(COUNTIF($E$2:E55,E55)&gt;1,MATCH(E55,$E:$E,0),"")</x:f>
      </x:c>
      <x:c r="G55" s="34" t="str">
        <x:f>IF(F55="","",COUNTIF($F$2:F55,"&gt;0"))</x:f>
      </x:c>
      <x:c r="H55" s="34" t="n">
        <x:v>54</x:v>
      </x:c>
      <x:c r="I55" s="35" t="b">
        <x:v>1</x:v>
      </x:c>
      <x:c r="J55" s="38" t="n">
        <x:v>0.51722</x:v>
      </x:c>
      <x:c r="K55" s="38" t="n">
        <x:v>0.022109999999999998</x:v>
      </x:c>
      <x:c r="L55" s="38" t="n">
        <x:v>0.022109999999999998</x:v>
      </x:c>
      <x:c r="M55" s="39"/>
      <x:c r="N55" s="39"/>
      <x:c r="O55" s="39"/>
      <x:c r="P55" s="39"/>
      <x:c r="Q55" s="39"/>
      <x:c r="R55" s="39"/>
      <x:c r="S55" s="39"/>
      <x:c r="T55" s="38" t="n">
        <x:f>L55+SUM(M55:S55)</x:f>
        <x:v>0.022109999999999998</x:v>
      </x:c>
      <x:c r="U55" s="39"/>
      <x:c r="V55" s="38" t="str">
        <x:f>IF(U55="","",T55-U55)</x:f>
      </x:c>
      <x:c r="W55" s="28"/>
    </x:row>
    <x:row r="56">
      <x:c r="A56" s="30" t="n">
        <x:v>56</x:v>
      </x:c>
      <x:c r="B56" s="30" t="n">
        <x:v>4</x:v>
      </x:c>
      <x:c r="C56" s="31" t="str">
        <x:f>REPT(" ",B56)&amp;TRIM(RIGHT(SUBSTITUTE(D56," ",REPT(" ",99)),99))</x:f>
        <x:v>    e4</x:v>
      </x:c>
      <x:c r="D56" s="18" t="str">
        <x:v>d4 d5 c4 dxc4 Nc3 a6 e4</x:v>
      </x:c>
      <x:c r="E56" s="18" t="str">
        <x:v>xxi</x:v>
      </x:c>
      <x:c r="F56" s="34" t="str">
        <x:f>IF(COUNTIF($E$2:E56,E56)&gt;1,MATCH(E56,$E:$E,0),"")</x:f>
      </x:c>
      <x:c r="G56" s="34" t="str">
        <x:f>IF(F56="","",COUNTIF($F$2:F56,"&gt;0"))</x:f>
      </x:c>
      <x:c r="H56" s="34" t="n">
        <x:v>54</x:v>
      </x:c>
      <x:c r="I56" s="35" t="b">
        <x:v>1</x:v>
      </x:c>
      <x:c r="J56" s="38" t="n">
        <x:v>0.27676</x:v>
      </x:c>
      <x:c r="K56" s="38" t="n">
        <x:v>0.01183</x:v>
      </x:c>
      <x:c r="L56" s="38" t="n">
        <x:v>0.01183</x:v>
      </x:c>
      <x:c r="M56" s="39"/>
      <x:c r="N56" s="39"/>
      <x:c r="O56" s="39"/>
      <x:c r="P56" s="39"/>
      <x:c r="Q56" s="39"/>
      <x:c r="R56" s="39"/>
      <x:c r="S56" s="39"/>
      <x:c r="T56" s="38" t="n">
        <x:f>L56+SUM(M56:S56)</x:f>
        <x:v>0.01183</x:v>
      </x:c>
      <x:c r="U56" s="39"/>
      <x:c r="V56" s="38" t="str">
        <x:f>IF(U56="","",T56-U56)</x:f>
      </x:c>
      <x:c r="W56" s="28"/>
    </x:row>
    <x:row r="57">
      <x:c r="A57" s="30" t="n">
        <x:v>57</x:v>
      </x:c>
      <x:c r="B57" s="30" t="n">
        <x:v>4</x:v>
      </x:c>
      <x:c r="C57" s="31" t="str">
        <x:f>REPT(" ",B57)&amp;TRIM(RIGHT(SUBSTITUTE(D57," ",REPT(" ",99)),99))</x:f>
        <x:v>    e3</x:v>
      </x:c>
      <x:c r="D57" s="18" t="str">
        <x:v>d4 d5 c4 dxc4 Nc3 a6 e3</x:v>
      </x:c>
      <x:c r="E57" s="18" t="str">
        <x:v>foa</x:v>
      </x:c>
      <x:c r="F57" s="34" t="str">
        <x:f>IF(COUNTIF($E$2:E57,E57)&gt;1,MATCH(E57,$E:$E,0),"")</x:f>
      </x:c>
      <x:c r="G57" s="34" t="str">
        <x:f>IF(F57="","",COUNTIF($F$2:F57,"&gt;0"))</x:f>
      </x:c>
      <x:c r="H57" s="34" t="n">
        <x:v>54</x:v>
      </x:c>
      <x:c r="I57" s="35" t="b">
        <x:v>1</x:v>
      </x:c>
      <x:c r="J57" s="38" t="n">
        <x:v>0.13205</x:v>
      </x:c>
      <x:c r="K57" s="38" t="n">
        <x:v>0.00565</x:v>
      </x:c>
      <x:c r="L57" s="38" t="n">
        <x:v>0.00565</x:v>
      </x:c>
      <x:c r="M57" s="39"/>
      <x:c r="N57" s="39"/>
      <x:c r="O57" s="39"/>
      <x:c r="P57" s="39"/>
      <x:c r="Q57" s="39"/>
      <x:c r="R57" s="39"/>
      <x:c r="S57" s="39"/>
      <x:c r="T57" s="38" t="n">
        <x:f>L57+SUM(M57:S57)</x:f>
        <x:v>0.00565</x:v>
      </x:c>
      <x:c r="U57" s="39"/>
      <x:c r="V57" s="38" t="str">
        <x:f>IF(U57="","",T57-U57)</x:f>
      </x:c>
      <x:c r="W57" s="28"/>
    </x:row>
    <x:row r="58">
      <x:c r="A58" s="30" t="n">
        <x:v>58</x:v>
      </x:c>
      <x:c r="B58" s="30" t="n">
        <x:v>4</x:v>
      </x:c>
      <x:c r="C58" s="31" t="str">
        <x:f>REPT(" ",B58)&amp;TRIM(RIGHT(SUBSTITUTE(D58," ",REPT(" ",99)),99))</x:f>
        <x:v>    Nf3</x:v>
      </x:c>
      <x:c r="D58" s="18" t="str">
        <x:v>d4 d5 c4 dxc4 Nc3 a6 Nf3</x:v>
      </x:c>
      <x:c r="E58" s="18" t="str">
        <x:v>yuk</x:v>
      </x:c>
      <x:c r="F58" s="34" t="str">
        <x:f>IF(COUNTIF($E$2:E58,E58)&gt;1,MATCH(E58,$E:$E,0),"")</x:f>
      </x:c>
      <x:c r="G58" s="34" t="str">
        <x:f>IF(F58="","",COUNTIF($F$2:F58,"&gt;0"))</x:f>
      </x:c>
      <x:c r="H58" s="34" t="n">
        <x:v>54</x:v>
      </x:c>
      <x:c r="I58" s="35" t="b">
        <x:v>1</x:v>
      </x:c>
      <x:c r="J58" s="38" t="n">
        <x:v>0.07396</x:v>
      </x:c>
      <x:c r="K58" s="38" t="n">
        <x:v>0.00316</x:v>
      </x:c>
      <x:c r="L58" s="38" t="n">
        <x:v>0.00316</x:v>
      </x:c>
      <x:c r="M58" s="39"/>
      <x:c r="N58" s="39"/>
      <x:c r="O58" s="39"/>
      <x:c r="P58" s="39"/>
      <x:c r="Q58" s="39"/>
      <x:c r="R58" s="39"/>
      <x:c r="S58" s="39"/>
      <x:c r="T58" s="38" t="n">
        <x:f>L58+SUM(M58:S58)</x:f>
        <x:v>0.00316</x:v>
      </x:c>
      <x:c r="U58" s="39"/>
      <x:c r="V58" s="38" t="str">
        <x:f>IF(U58="","",T58-U58)</x:f>
      </x:c>
      <x:c r="W58" s="28"/>
    </x:row>
    <x:row r="59">
      <x:c r="A59" s="30" t="n">
        <x:v>59</x:v>
      </x:c>
      <x:c r="B59" s="30" t="n">
        <x:v>3</x:v>
      </x:c>
      <x:c r="C59" s="31" t="str">
        <x:f>REPT(" ",B59)&amp;TRIM(RIGHT(SUBSTITUTE(D59," ",REPT(" ",99)),99))</x:f>
        <x:v>   e3</x:v>
      </x:c>
      <x:c r="D59" s="18" t="str">
        <x:v>d4 d5 c4 dxc4 e3</x:v>
      </x:c>
      <x:c r="E59" s="18" t="str">
        <x:v>ryq</x:v>
      </x:c>
      <x:c r="F59" s="34" t="str">
        <x:f>IF(COUNTIF($E$2:E59,E59)&gt;1,MATCH(E59,$E:$E,0),"")</x:f>
      </x:c>
      <x:c r="G59" s="34" t="str">
        <x:f>IF(F59="","",COUNTIF($F$2:F59,"&gt;0"))</x:f>
      </x:c>
      <x:c r="H59" s="34" t="n">
        <x:v>53</x:v>
      </x:c>
      <x:c r="I59" s="35" t="b">
        <x:v>0</x:v>
      </x:c>
      <x:c r="J59" s="38" t="n">
        <x:v>0.31219</x:v>
      </x:c>
      <x:c r="K59" s="38" t="n">
        <x:v>0.0405</x:v>
      </x:c>
      <x:c r="L59" s="38" t="n">
        <x:v>0.0405</x:v>
      </x:c>
      <x:c r="M59" s="39"/>
      <x:c r="N59" s="39"/>
      <x:c r="O59" s="39"/>
      <x:c r="P59" s="39"/>
      <x:c r="Q59" s="39"/>
      <x:c r="R59" s="39"/>
      <x:c r="S59" s="39"/>
      <x:c r="T59" s="38" t="n">
        <x:f>L59+SUM(M59:S59)</x:f>
        <x:v>0.0405</x:v>
      </x:c>
      <x:c r="U59" s="39"/>
      <x:c r="V59" s="38" t="str">
        <x:f>IF(U59="","",T59-U59)</x:f>
      </x:c>
      <x:c r="W59" s="28"/>
    </x:row>
    <x:row r="60">
      <x:c r="A60" s="30" t="n">
        <x:v>60</x:v>
      </x:c>
      <x:c r="B60" s="30" t="n">
        <x:v>4</x:v>
      </x:c>
      <x:c r="C60" s="31" t="str">
        <x:f>REPT(" ",B60)&amp;TRIM(RIGHT(SUBSTITUTE(D60," ",REPT(" ",99)),99))</x:f>
        <x:v>    Bxc4</x:v>
      </x:c>
      <x:c r="D60" s="18" t="str">
        <x:v>d4 d5 c4 dxc4 e3 Nc6 Bxc4</x:v>
      </x:c>
      <x:c r="E60" s="18" t="str">
        <x:v>atk</x:v>
      </x:c>
      <x:c r="F60" s="34" t="str">
        <x:f>IF(COUNTIF($E$2:E60,E60)&gt;1,MATCH(E60,$E:$E,0),"")</x:f>
      </x:c>
      <x:c r="G60" s="34" t="str">
        <x:f>IF(F60="","",COUNTIF($F$2:F60,"&gt;0"))</x:f>
      </x:c>
      <x:c r="H60" s="34" t="n">
        <x:v>59</x:v>
      </x:c>
      <x:c r="I60" s="35" t="b">
        <x:v>1</x:v>
      </x:c>
      <x:c r="J60" s="38" t="n">
        <x:v>1</x:v>
      </x:c>
      <x:c r="K60" s="38" t="n">
        <x:v>0.0405</x:v>
      </x:c>
      <x:c r="L60" s="38" t="n">
        <x:v>0.0405</x:v>
      </x:c>
      <x:c r="M60" s="39"/>
      <x:c r="N60" s="39"/>
      <x:c r="O60" s="39"/>
      <x:c r="P60" s="39"/>
      <x:c r="Q60" s="39"/>
      <x:c r="R60" s="39"/>
      <x:c r="S60" s="39"/>
      <x:c r="T60" s="38" t="n">
        <x:f>L60+SUM(M60:S60)</x:f>
        <x:v>0.0405</x:v>
      </x:c>
      <x:c r="U60" s="39"/>
      <x:c r="V60" s="38" t="str">
        <x:f>IF(U60="","",T60-U60)</x:f>
      </x:c>
      <x:c r="W60" s="28"/>
    </x:row>
    <x:row r="61">
      <x:c r="A61" s="30" t="n">
        <x:v>61</x:v>
      </x:c>
      <x:c r="B61" s="30" t="n">
        <x:v>3</x:v>
      </x:c>
      <x:c r="C61" s="31" t="str">
        <x:f>REPT(" ",B61)&amp;TRIM(RIGHT(SUBSTITUTE(D61," ",REPT(" ",99)),99))</x:f>
        <x:v>   e4</x:v>
      </x:c>
      <x:c r="D61" s="18" t="str">
        <x:v>d4 d5 c4 dxc4 e4</x:v>
      </x:c>
      <x:c r="E61" s="18" t="str">
        <x:v>pad</x:v>
      </x:c>
      <x:c r="F61" s="34" t="str">
        <x:f>IF(COUNTIF($E$2:E61,E61)&gt;1,MATCH(E61,$E:$E,0),"")</x:f>
      </x:c>
      <x:c r="G61" s="34" t="str">
        <x:f>IF(F61="","",COUNTIF($F$2:F61,"&gt;0"))</x:f>
      </x:c>
      <x:c r="H61" s="34" t="n">
        <x:v>53</x:v>
      </x:c>
      <x:c r="I61" s="35" t="b">
        <x:v>0</x:v>
      </x:c>
      <x:c r="J61" s="38" t="n">
        <x:v>0.27312000000000003</x:v>
      </x:c>
      <x:c r="K61" s="38" t="n">
        <x:v>0.03543</x:v>
      </x:c>
      <x:c r="L61" s="38" t="n">
        <x:v>0.03543</x:v>
      </x:c>
      <x:c r="M61" s="39"/>
      <x:c r="N61" s="39"/>
      <x:c r="O61" s="39"/>
      <x:c r="P61" s="39"/>
      <x:c r="Q61" s="39"/>
      <x:c r="R61" s="39"/>
      <x:c r="S61" s="39"/>
      <x:c r="T61" s="38" t="n">
        <x:f>L61+SUM(M61:S61)</x:f>
        <x:v>0.03543</x:v>
      </x:c>
      <x:c r="U61" s="39"/>
      <x:c r="V61" s="38" t="str">
        <x:f>IF(U61="","",T61-U61)</x:f>
      </x:c>
      <x:c r="W61" s="28"/>
    </x:row>
    <x:row r="62">
      <x:c r="A62" s="30" t="n">
        <x:v>62</x:v>
      </x:c>
      <x:c r="B62" s="30" t="n">
        <x:v>4</x:v>
      </x:c>
      <x:c r="C62" s="31" t="str">
        <x:f>REPT(" ",B62)&amp;TRIM(RIGHT(SUBSTITUTE(D62," ",REPT(" ",99)),99))</x:f>
        <x:v>    a4</x:v>
      </x:c>
      <x:c r="D62" s="18" t="str">
        <x:v>d4 d5 c4 dxc4 e4 b5 a4</x:v>
      </x:c>
      <x:c r="E62" s="18" t="str">
        <x:v>scc</x:v>
      </x:c>
      <x:c r="F62" s="34" t="str">
        <x:f>IF(COUNTIF($E$2:E62,E62)&gt;1,MATCH(E62,$E:$E,0),"")</x:f>
      </x:c>
      <x:c r="G62" s="34" t="str">
        <x:f>IF(F62="","",COUNTIF($F$2:F62,"&gt;0"))</x:f>
      </x:c>
      <x:c r="H62" s="34" t="n">
        <x:v>61</x:v>
      </x:c>
      <x:c r="I62" s="35" t="b">
        <x:v>1</x:v>
      </x:c>
      <x:c r="J62" s="38" t="n">
        <x:v>0.59098</x:v>
      </x:c>
      <x:c r="K62" s="38" t="n">
        <x:v>0.02094</x:v>
      </x:c>
      <x:c r="L62" s="38" t="n">
        <x:v>0.02094</x:v>
      </x:c>
      <x:c r="M62" s="39"/>
      <x:c r="N62" s="39"/>
      <x:c r="O62" s="39"/>
      <x:c r="P62" s="39"/>
      <x:c r="Q62" s="39"/>
      <x:c r="R62" s="39"/>
      <x:c r="S62" s="39"/>
      <x:c r="T62" s="38" t="n">
        <x:f>L62+SUM(M62:S62)</x:f>
        <x:v>0.02094</x:v>
      </x:c>
      <x:c r="U62" s="39"/>
      <x:c r="V62" s="38" t="str">
        <x:f>IF(U62="","",T62-U62)</x:f>
      </x:c>
      <x:c r="W62" s="28"/>
    </x:row>
    <x:row r="63">
      <x:c r="A63" s="30" t="n">
        <x:v>63</x:v>
      </x:c>
      <x:c r="B63" s="30" t="n">
        <x:v>4</x:v>
      </x:c>
      <x:c r="C63" s="31" t="str">
        <x:f>REPT(" ",B63)&amp;TRIM(RIGHT(SUBSTITUTE(D63," ",REPT(" ",99)),99))</x:f>
        <x:v>    Nc3</x:v>
      </x:c>
      <x:c r="D63" s="18" t="str">
        <x:v>d4 d5 c4 dxc4 e4 b5 Nc3</x:v>
      </x:c>
      <x:c r="E63" s="18" t="str">
        <x:v>lzj</x:v>
      </x:c>
      <x:c r="F63" s="34" t="str">
        <x:f>IF(COUNTIF($E$2:E63,E63)&gt;1,MATCH(E63,$E:$E,0),"")</x:f>
      </x:c>
      <x:c r="G63" s="34" t="str">
        <x:f>IF(F63="","",COUNTIF($F$2:F63,"&gt;0"))</x:f>
      </x:c>
      <x:c r="H63" s="34" t="n">
        <x:v>61</x:v>
      </x:c>
      <x:c r="I63" s="35" t="b">
        <x:v>1</x:v>
      </x:c>
      <x:c r="J63" s="38" t="n">
        <x:v>0.32426</x:v>
      </x:c>
      <x:c r="K63" s="38" t="n">
        <x:v>0.01149</x:v>
      </x:c>
      <x:c r="L63" s="38" t="n">
        <x:v>0.01149</x:v>
      </x:c>
      <x:c r="M63" s="39"/>
      <x:c r="N63" s="39"/>
      <x:c r="O63" s="39"/>
      <x:c r="P63" s="39"/>
      <x:c r="Q63" s="39"/>
      <x:c r="R63" s="39"/>
      <x:c r="S63" s="39"/>
      <x:c r="T63" s="38" t="n">
        <x:f>L63+SUM(M63:S63)</x:f>
        <x:v>0.01149</x:v>
      </x:c>
      <x:c r="U63" s="39"/>
      <x:c r="V63" s="38" t="str">
        <x:f>IF(U63="","",T63-U63)</x:f>
      </x:c>
      <x:c r="W63" s="28"/>
    </x:row>
    <x:row r="64">
      <x:c r="A64" s="30" t="n">
        <x:v>64</x:v>
      </x:c>
      <x:c r="B64" s="30" t="n">
        <x:v>4</x:v>
      </x:c>
      <x:c r="C64" s="31" t="str">
        <x:f>REPT(" ",B64)&amp;TRIM(RIGHT(SUBSTITUTE(D64," ",REPT(" ",99)),99))</x:f>
        <x:v>    Nf3</x:v>
      </x:c>
      <x:c r="D64" s="18" t="str">
        <x:v>d4 d5 c4 dxc4 e4 b5 Nf3</x:v>
      </x:c>
      <x:c r="E64" s="18" t="str">
        <x:v>hbh</x:v>
      </x:c>
      <x:c r="F64" s="34" t="str">
        <x:f>IF(COUNTIF($E$2:E64,E64)&gt;1,MATCH(E64,$E:$E,0),"")</x:f>
      </x:c>
      <x:c r="G64" s="34" t="str">
        <x:f>IF(F64="","",COUNTIF($F$2:F64,"&gt;0"))</x:f>
      </x:c>
      <x:c r="H64" s="34" t="n">
        <x:v>61</x:v>
      </x:c>
      <x:c r="I64" s="35" t="b">
        <x:v>1</x:v>
      </x:c>
      <x:c r="J64" s="38" t="n">
        <x:v>0.08476</x:v>
      </x:c>
      <x:c r="K64" s="38" t="n">
        <x:v>0.003</x:v>
      </x:c>
      <x:c r="L64" s="38" t="n">
        <x:v>0.003</x:v>
      </x:c>
      <x:c r="M64" s="39"/>
      <x:c r="N64" s="39"/>
      <x:c r="O64" s="39"/>
      <x:c r="P64" s="39"/>
      <x:c r="Q64" s="39"/>
      <x:c r="R64" s="39"/>
      <x:c r="S64" s="39"/>
      <x:c r="T64" s="38" t="n">
        <x:f>L64+SUM(M64:S64)</x:f>
        <x:v>0.003</x:v>
      </x:c>
      <x:c r="U64" s="39"/>
      <x:c r="V64" s="38" t="str">
        <x:f>IF(U64="","",T64-U64)</x:f>
      </x:c>
      <x:c r="W64" s="28"/>
    </x:row>
    <x:row r="65">
      <x:c r="A65" s="30" t="n">
        <x:v>65</x:v>
      </x:c>
      <x:c r="B65" s="30" t="n">
        <x:v>3</x:v>
      </x:c>
      <x:c r="C65" s="31" t="str">
        <x:f>REPT(" ",B65)&amp;TRIM(RIGHT(SUBSTITUTE(D65," ",REPT(" ",99)),99))</x:f>
        <x:v>   Nf3</x:v>
      </x:c>
      <x:c r="D65" s="18" t="str">
        <x:v>d4 d5 c4 dxc4 Nf3</x:v>
      </x:c>
      <x:c r="E65" s="18" t="str">
        <x:v>qyf</x:v>
      </x:c>
      <x:c r="F65" s="34" t="str">
        <x:f>IF(COUNTIF($E$2:E65,E65)&gt;1,MATCH(E65,$E:$E,0),"")</x:f>
      </x:c>
      <x:c r="G65" s="34" t="str">
        <x:f>IF(F65="","",COUNTIF($F$2:F65,"&gt;0"))</x:f>
      </x:c>
      <x:c r="H65" s="34" t="n">
        <x:v>53</x:v>
      </x:c>
      <x:c r="I65" s="35" t="b">
        <x:v>0</x:v>
      </x:c>
      <x:c r="J65" s="38" t="n">
        <x:v>0.08509</x:v>
      </x:c>
      <x:c r="K65" s="38" t="n">
        <x:v>0.011040000000000001</x:v>
      </x:c>
      <x:c r="L65" s="38" t="n">
        <x:v>0.011040000000000001</x:v>
      </x:c>
      <x:c r="M65" s="39"/>
      <x:c r="N65" s="39"/>
      <x:c r="O65" s="39"/>
      <x:c r="P65" s="39"/>
      <x:c r="Q65" s="39"/>
      <x:c r="R65" s="39"/>
      <x:c r="S65" s="39"/>
      <x:c r="T65" s="38" t="n">
        <x:f>L65+SUM(M65:S65)</x:f>
        <x:v>0.011040000000000001</x:v>
      </x:c>
      <x:c r="U65" s="39"/>
      <x:c r="V65" s="38" t="str">
        <x:f>IF(U65="","",T65-U65)</x:f>
      </x:c>
      <x:c r="W65" s="28"/>
    </x:row>
    <x:row r="66">
      <x:c r="A66" s="30" t="n">
        <x:v>66</x:v>
      </x:c>
      <x:c r="B66" s="30" t="n">
        <x:v>4</x:v>
      </x:c>
      <x:c r="C66" s="31" t="str">
        <x:f>REPT(" ",B66)&amp;TRIM(RIGHT(SUBSTITUTE(D66," ",REPT(" ",99)),99))</x:f>
        <x:v>    Nc3</x:v>
      </x:c>
      <x:c r="D66" s="18" t="str">
        <x:v>d4 d5 c4 dxc4 Nf3 Bf5 Nc3</x:v>
      </x:c>
      <x:c r="E66" s="18" t="str">
        <x:v>qdu</x:v>
      </x:c>
      <x:c r="F66" s="34" t="str">
        <x:f>IF(COUNTIF($E$2:E66,E66)&gt;1,MATCH(E66,$E:$E,0),"")</x:f>
      </x:c>
      <x:c r="G66" s="34" t="str">
        <x:f>IF(F66="","",COUNTIF($F$2:F66,"&gt;0"))</x:f>
      </x:c>
      <x:c r="H66" s="34" t="n">
        <x:v>65</x:v>
      </x:c>
      <x:c r="I66" s="35" t="b">
        <x:v>1</x:v>
      </x:c>
      <x:c r="J66" s="38" t="n">
        <x:v>0.60498</x:v>
      </x:c>
      <x:c r="K66" s="38" t="n">
        <x:v>0.00668</x:v>
      </x:c>
      <x:c r="L66" s="38" t="n">
        <x:v>0.00668</x:v>
      </x:c>
      <x:c r="M66" s="39"/>
      <x:c r="N66" s="39"/>
      <x:c r="O66" s="39"/>
      <x:c r="P66" s="39"/>
      <x:c r="Q66" s="39"/>
      <x:c r="R66" s="39"/>
      <x:c r="S66" s="39"/>
      <x:c r="T66" s="38" t="n">
        <x:f>L66+SUM(M66:S66)</x:f>
        <x:v>0.00668</x:v>
      </x:c>
      <x:c r="U66" s="39"/>
      <x:c r="V66" s="38" t="str">
        <x:f>IF(U66="","",T66-U66)</x:f>
      </x:c>
      <x:c r="W66" s="28"/>
    </x:row>
    <x:row r="67">
      <x:c r="A67" s="30" t="n">
        <x:v>67</x:v>
      </x:c>
      <x:c r="B67" s="30" t="n">
        <x:v>4</x:v>
      </x:c>
      <x:c r="C67" s="31" t="str">
        <x:f>REPT(" ",B67)&amp;TRIM(RIGHT(SUBSTITUTE(D67," ",REPT(" ",99)),99))</x:f>
        <x:v>    e3</x:v>
      </x:c>
      <x:c r="D67" s="18" t="str">
        <x:v>d4 d5 c4 dxc4 Nf3 Bf5 e3</x:v>
      </x:c>
      <x:c r="E67" s="18" t="str">
        <x:v>tge</x:v>
      </x:c>
      <x:c r="F67" s="34" t="str">
        <x:f>IF(COUNTIF($E$2:E67,E67)&gt;1,MATCH(E67,$E:$E,0),"")</x:f>
      </x:c>
      <x:c r="G67" s="34" t="str">
        <x:f>IF(F67="","",COUNTIF($F$2:F67,"&gt;0"))</x:f>
      </x:c>
      <x:c r="H67" s="34" t="n">
        <x:v>65</x:v>
      </x:c>
      <x:c r="I67" s="35" t="b">
        <x:v>1</x:v>
      </x:c>
      <x:c r="J67" s="38" t="n">
        <x:v>0.26172999999999996</x:v>
      </x:c>
      <x:c r="K67" s="38" t="n">
        <x:v>0.0028899999999999998</x:v>
      </x:c>
      <x:c r="L67" s="38" t="n">
        <x:v>0.0028899999999999998</x:v>
      </x:c>
      <x:c r="M67" s="39"/>
      <x:c r="N67" s="39"/>
      <x:c r="O67" s="39"/>
      <x:c r="P67" s="39"/>
      <x:c r="Q67" s="39"/>
      <x:c r="R67" s="39"/>
      <x:c r="S67" s="39"/>
      <x:c r="T67" s="38" t="n">
        <x:f>L67+SUM(M67:S67)</x:f>
        <x:v>0.0028899999999999998</x:v>
      </x:c>
      <x:c r="U67" s="39"/>
      <x:c r="V67" s="38" t="str">
        <x:f>IF(U67="","",T67-U67)</x:f>
      </x:c>
      <x:c r="W67" s="28"/>
    </x:row>
    <x:row r="68">
      <x:c r="A68" s="30" t="n">
        <x:v>68</x:v>
      </x:c>
      <x:c r="B68" s="30" t="n">
        <x:v>4</x:v>
      </x:c>
      <x:c r="C68" s="31" t="str">
        <x:f>REPT(" ",B68)&amp;TRIM(RIGHT(SUBSTITUTE(D68," ",REPT(" ",99)),99))</x:f>
        <x:v>    Qa4+</x:v>
      </x:c>
      <x:c r="D68" s="18" t="str">
        <x:v>d4 d5 c4 dxc4 Nf3 Bf5 Qa4+</x:v>
      </x:c>
      <x:c r="E68" s="18" t="str">
        <x:v>juq</x:v>
      </x:c>
      <x:c r="F68" s="34" t="str">
        <x:f>IF(COUNTIF($E$2:E68,E68)&gt;1,MATCH(E68,$E:$E,0),"")</x:f>
      </x:c>
      <x:c r="G68" s="34" t="str">
        <x:f>IF(F68="","",COUNTIF($F$2:F68,"&gt;0"))</x:f>
      </x:c>
      <x:c r="H68" s="34" t="n">
        <x:v>65</x:v>
      </x:c>
      <x:c r="I68" s="35" t="b">
        <x:v>1</x:v>
      </x:c>
      <x:c r="J68" s="38" t="n">
        <x:v>0.07833999999999999</x:v>
      </x:c>
      <x:c r="K68" s="38" t="n">
        <x:v>0.00086</x:v>
      </x:c>
      <x:c r="L68" s="38" t="n">
        <x:v>0.00086</x:v>
      </x:c>
      <x:c r="M68" s="39"/>
      <x:c r="N68" s="39"/>
      <x:c r="O68" s="39"/>
      <x:c r="P68" s="39"/>
      <x:c r="Q68" s="39"/>
      <x:c r="R68" s="39"/>
      <x:c r="S68" s="39"/>
      <x:c r="T68" s="38" t="n">
        <x:f>L68+SUM(M68:S68)</x:f>
        <x:v>0.00086</x:v>
      </x:c>
      <x:c r="U68" s="39"/>
      <x:c r="V68" s="38" t="str">
        <x:f>IF(U68="","",T68-U68)</x:f>
      </x:c>
      <x:c r="W68" s="28"/>
    </x:row>
    <x:row r="69">
      <x:c r="A69" s="30" t="n">
        <x:v>69</x:v>
      </x:c>
      <x:c r="B69" s="30" t="n">
        <x:v>4</x:v>
      </x:c>
      <x:c r="C69" s="31" t="str">
        <x:f>REPT(" ",B69)&amp;TRIM(RIGHT(SUBSTITUTE(D69," ",REPT(" ",99)),99))</x:f>
        <x:v>    g3</x:v>
      </x:c>
      <x:c r="D69" s="18" t="str">
        <x:v>d4 d5 c4 dxc4 Nf3 Bf5 g3</x:v>
      </x:c>
      <x:c r="E69" s="18" t="str">
        <x:v>lyf</x:v>
      </x:c>
      <x:c r="F69" s="34" t="str">
        <x:f>IF(COUNTIF($E$2:E69,E69)&gt;1,MATCH(E69,$E:$E,0),"")</x:f>
      </x:c>
      <x:c r="G69" s="34" t="str">
        <x:f>IF(F69="","",COUNTIF($F$2:F69,"&gt;0"))</x:f>
      </x:c>
      <x:c r="H69" s="34" t="n">
        <x:v>65</x:v>
      </x:c>
      <x:c r="I69" s="35" t="b">
        <x:v>1</x:v>
      </x:c>
      <x:c r="J69" s="38" t="n">
        <x:v>0.05495</x:v>
      </x:c>
      <x:c r="K69" s="38" t="n">
        <x:v>0.00061</x:v>
      </x:c>
      <x:c r="L69" s="38" t="n">
        <x:v>0.00061</x:v>
      </x:c>
      <x:c r="M69" s="39"/>
      <x:c r="N69" s="39"/>
      <x:c r="O69" s="39"/>
      <x:c r="P69" s="39"/>
      <x:c r="Q69" s="39"/>
      <x:c r="R69" s="39"/>
      <x:c r="S69" s="39"/>
      <x:c r="T69" s="38" t="n">
        <x:f>L69+SUM(M69:S69)</x:f>
        <x:v>0.00061</x:v>
      </x:c>
      <x:c r="U69" s="39"/>
      <x:c r="V69" s="38" t="str">
        <x:f>IF(U69="","",T69-U69)</x:f>
      </x:c>
      <x:c r="W69" s="28"/>
    </x:row>
    <x:row r="70">
      <x:c r="A70" s="30" t="n">
        <x:v>70</x:v>
      </x:c>
      <x:c r="B70" s="30" t="n">
        <x:v>2</x:v>
      </x:c>
      <x:c r="C70" s="31" t="str">
        <x:f>REPT(" ",B70)&amp;TRIM(RIGHT(SUBSTITUTE(D70," ",REPT(" ",99)),99))</x:f>
        <x:v>  Bf4</x:v>
      </x:c>
      <x:c r="D70" s="18" t="str">
        <x:v>d4 d5 Bf4</x:v>
      </x:c>
      <x:c r="E70" s="18" t="str">
        <x:v>xih</x:v>
      </x:c>
      <x:c r="F70" s="34" t="str">
        <x:f>IF(COUNTIF($E$2:E70,E70)&gt;1,MATCH(E70,$E:$E,0),"")</x:f>
      </x:c>
      <x:c r="G70" s="34" t="str">
        <x:f>IF(F70="","",COUNTIF($F$2:F70,"&gt;0"))</x:f>
      </x:c>
      <x:c r="H70" s="34" t="n">
        <x:v>52</x:v>
      </x:c>
      <x:c r="I70" s="35" t="b">
        <x:v>0</x:v>
      </x:c>
      <x:c r="J70" s="38" t="n">
        <x:v>0.21175</x:v>
      </x:c>
      <x:c r="K70" s="38" t="n">
        <x:v>0.05868</x:v>
      </x:c>
      <x:c r="L70" s="38" t="n">
        <x:v>0.05868</x:v>
      </x:c>
      <x:c r="M70" s="39"/>
      <x:c r="N70" s="39"/>
      <x:c r="O70" s="39"/>
      <x:c r="P70" s="39"/>
      <x:c r="Q70" s="39"/>
      <x:c r="R70" s="39"/>
      <x:c r="S70" s="39"/>
      <x:c r="T70" s="38" t="n">
        <x:f>L70+SUM(M70:S70)</x:f>
        <x:v>0.05868</x:v>
      </x:c>
      <x:c r="U70" s="39"/>
      <x:c r="V70" s="38" t="str">
        <x:f>IF(U70="","",T70-U70)</x:f>
      </x:c>
      <x:c r="W70" s="28"/>
    </x:row>
    <x:row r="71">
      <x:c r="A71" s="30" t="n">
        <x:v>71</x:v>
      </x:c>
      <x:c r="B71" s="30" t="n">
        <x:v>3</x:v>
      </x:c>
      <x:c r="C71" s="31" t="str">
        <x:f>REPT(" ",B71)&amp;TRIM(RIGHT(SUBSTITUTE(D71," ",REPT(" ",99)),99))</x:f>
        <x:v>   e3</x:v>
      </x:c>
      <x:c r="D71" s="18" t="str">
        <x:v>d4 d5 Bf4 h5 e3</x:v>
      </x:c>
      <x:c r="E71" s="18" t="str">
        <x:v>ayz</x:v>
      </x:c>
      <x:c r="F71" s="34" t="str">
        <x:f>IF(COUNTIF($E$2:E71,E71)&gt;1,MATCH(E71,$E:$E,0),"")</x:f>
      </x:c>
      <x:c r="G71" s="34" t="str">
        <x:f>IF(F71="","",COUNTIF($F$2:F71,"&gt;0"))</x:f>
      </x:c>
      <x:c r="H71" s="34" t="n">
        <x:v>70</x:v>
      </x:c>
      <x:c r="I71" s="35" t="b">
        <x:v>0</x:v>
      </x:c>
      <x:c r="J71" s="38" t="n">
        <x:v>0.40771</x:v>
      </x:c>
      <x:c r="K71" s="38" t="n">
        <x:v>0.02392</x:v>
      </x:c>
      <x:c r="L71" s="38" t="n">
        <x:v>0.02392</x:v>
      </x:c>
      <x:c r="M71" s="39"/>
      <x:c r="N71" s="39"/>
      <x:c r="O71" s="39"/>
      <x:c r="P71" s="39"/>
      <x:c r="Q71" s="39"/>
      <x:c r="R71" s="39"/>
      <x:c r="S71" s="39"/>
      <x:c r="T71" s="38" t="n">
        <x:f>L71+SUM(M71:S71)</x:f>
        <x:v>0.02392</x:v>
      </x:c>
      <x:c r="U71" s="39"/>
      <x:c r="V71" s="38" t="str">
        <x:f>IF(U71="","",T71-U71)</x:f>
      </x:c>
      <x:c r="W71" s="28"/>
    </x:row>
    <x:row r="72">
      <x:c r="A72" s="30" t="n">
        <x:v>72</x:v>
      </x:c>
      <x:c r="B72" s="30" t="n">
        <x:v>4</x:v>
      </x:c>
      <x:c r="C72" s="31" t="str">
        <x:f>REPT(" ",B72)&amp;TRIM(RIGHT(SUBSTITUTE(D72," ",REPT(" ",99)),99))</x:f>
        <x:v>    Bxe5</x:v>
      </x:c>
      <x:c r="D72" s="18" t="str">
        <x:v>d4 d5 Bf4 h5 e3 e5 Bxe5</x:v>
      </x:c>
      <x:c r="E72" s="18" t="str">
        <x:v>fwn</x:v>
      </x:c>
      <x:c r="F72" s="34" t="str">
        <x:f>IF(COUNTIF($E$2:E72,E72)&gt;1,MATCH(E72,$E:$E,0),"")</x:f>
      </x:c>
      <x:c r="G72" s="34" t="str">
        <x:f>IF(F72="","",COUNTIF($F$2:F72,"&gt;0"))</x:f>
      </x:c>
      <x:c r="H72" s="34" t="n">
        <x:v>71</x:v>
      </x:c>
      <x:c r="I72" s="35" t="b">
        <x:v>1</x:v>
      </x:c>
      <x:c r="J72" s="38" t="n">
        <x:v>0.56531</x:v>
      </x:c>
      <x:c r="K72" s="38" t="n">
        <x:v>0.01352</x:v>
      </x:c>
      <x:c r="L72" s="38" t="n">
        <x:v>0.01352</x:v>
      </x:c>
      <x:c r="M72" s="39"/>
      <x:c r="N72" s="39"/>
      <x:c r="O72" s="39"/>
      <x:c r="P72" s="39"/>
      <x:c r="Q72" s="39"/>
      <x:c r="R72" s="39"/>
      <x:c r="S72" s="39"/>
      <x:c r="T72" s="38" t="n">
        <x:f>L72+SUM(M72:S72)</x:f>
        <x:v>0.01352</x:v>
      </x:c>
      <x:c r="U72" s="39"/>
      <x:c r="V72" s="38" t="str">
        <x:f>IF(U72="","",T72-U72)</x:f>
      </x:c>
      <x:c r="W72" s="28"/>
    </x:row>
    <x:row r="73">
      <x:c r="A73" s="30" t="n">
        <x:v>73</x:v>
      </x:c>
      <x:c r="B73" s="30" t="n">
        <x:v>4</x:v>
      </x:c>
      <x:c r="C73" s="31" t="str">
        <x:f>REPT(" ",B73)&amp;TRIM(RIGHT(SUBSTITUTE(D73," ",REPT(" ",99)),99))</x:f>
        <x:v>    dxe5</x:v>
      </x:c>
      <x:c r="D73" s="18" t="str">
        <x:v>d4 d5 Bf4 h5 e3 e5 dxe5</x:v>
      </x:c>
      <x:c r="E73" s="18" t="str">
        <x:v>kie</x:v>
      </x:c>
      <x:c r="F73" s="34" t="str">
        <x:f>IF(COUNTIF($E$2:E73,E73)&gt;1,MATCH(E73,$E:$E,0),"")</x:f>
      </x:c>
      <x:c r="G73" s="34" t="str">
        <x:f>IF(F73="","",COUNTIF($F$2:F73,"&gt;0"))</x:f>
      </x:c>
      <x:c r="H73" s="34" t="n">
        <x:v>71</x:v>
      </x:c>
      <x:c r="I73" s="35" t="b">
        <x:v>1</x:v>
      </x:c>
      <x:c r="J73" s="38" t="n">
        <x:v>0.43469</x:v>
      </x:c>
      <x:c r="K73" s="38" t="n">
        <x:v>0.0104</x:v>
      </x:c>
      <x:c r="L73" s="38" t="n">
        <x:v>0.0104</x:v>
      </x:c>
      <x:c r="M73" s="39"/>
      <x:c r="N73" s="39"/>
      <x:c r="O73" s="39"/>
      <x:c r="P73" s="39"/>
      <x:c r="Q73" s="39"/>
      <x:c r="R73" s="39"/>
      <x:c r="S73" s="39"/>
      <x:c r="T73" s="38" t="n">
        <x:f>L73+SUM(M73:S73)</x:f>
        <x:v>0.0104</x:v>
      </x:c>
      <x:c r="U73" s="39"/>
      <x:c r="V73" s="38" t="str">
        <x:f>IF(U73="","",T73-U73)</x:f>
      </x:c>
      <x:c r="W73" s="28"/>
    </x:row>
    <x:row r="74">
      <x:c r="A74" s="30" t="n">
        <x:v>74</x:v>
      </x:c>
      <x:c r="B74" s="30" t="n">
        <x:v>3</x:v>
      </x:c>
      <x:c r="C74" s="31" t="str">
        <x:f>REPT(" ",B74)&amp;TRIM(RIGHT(SUBSTITUTE(D74," ",REPT(" ",99)),99))</x:f>
        <x:v>   Nf3</x:v>
      </x:c>
      <x:c r="D74" s="18" t="str">
        <x:v>d4 d5 Bf4 h5 Nf3</x:v>
      </x:c>
      <x:c r="E74" s="18" t="str">
        <x:v>rgw</x:v>
      </x:c>
      <x:c r="F74" s="34" t="str">
        <x:f>IF(COUNTIF($E$2:E74,E74)&gt;1,MATCH(E74,$E:$E,0),"")</x:f>
      </x:c>
      <x:c r="G74" s="34" t="str">
        <x:f>IF(F74="","",COUNTIF($F$2:F74,"&gt;0"))</x:f>
      </x:c>
      <x:c r="H74" s="34" t="n">
        <x:v>70</x:v>
      </x:c>
      <x:c r="I74" s="35" t="b">
        <x:v>0</x:v>
      </x:c>
      <x:c r="J74" s="38" t="n">
        <x:v>0.23057</x:v>
      </x:c>
      <x:c r="K74" s="38" t="n">
        <x:v>0.01353</x:v>
      </x:c>
      <x:c r="L74" s="38" t="n">
        <x:v>0.01353</x:v>
      </x:c>
      <x:c r="M74" s="39"/>
      <x:c r="N74" s="39"/>
      <x:c r="O74" s="39"/>
      <x:c r="P74" s="39"/>
      <x:c r="Q74" s="39"/>
      <x:c r="R74" s="39"/>
      <x:c r="S74" s="39"/>
      <x:c r="T74" s="38" t="n">
        <x:f>L74+SUM(M74:S74)</x:f>
        <x:v>0.01353</x:v>
      </x:c>
      <x:c r="U74" s="39"/>
      <x:c r="V74" s="38" t="str">
        <x:f>IF(U74="","",T74-U74)</x:f>
      </x:c>
      <x:c r="W74" s="28"/>
    </x:row>
    <x:row r="75">
      <x:c r="A75" s="30" t="n">
        <x:v>75</x:v>
      </x:c>
      <x:c r="B75" s="30" t="n">
        <x:v>4</x:v>
      </x:c>
      <x:c r="C75" s="31" t="str">
        <x:f>REPT(" ",B75)&amp;TRIM(RIGHT(SUBSTITUTE(D75," ",REPT(" ",99)),99))</x:f>
        <x:v>    e3</x:v>
      </x:c>
      <x:c r="D75" s="18" t="str">
        <x:v>d4 d5 Bf4 h5 Nf3 Nf6 e3</x:v>
      </x:c>
      <x:c r="E75" s="18" t="str">
        <x:v>nho</x:v>
      </x:c>
      <x:c r="F75" s="34" t="str">
        <x:f>IF(COUNTIF($E$2:E75,E75)&gt;1,MATCH(E75,$E:$E,0),"")</x:f>
      </x:c>
      <x:c r="G75" s="34" t="str">
        <x:f>IF(F75="","",COUNTIF($F$2:F75,"&gt;0"))</x:f>
      </x:c>
      <x:c r="H75" s="34" t="n">
        <x:v>74</x:v>
      </x:c>
      <x:c r="I75" s="35" t="b">
        <x:v>1</x:v>
      </x:c>
      <x:c r="J75" s="38" t="n">
        <x:v>0.69638</x:v>
      </x:c>
      <x:c r="K75" s="38" t="n">
        <x:v>0.00942</x:v>
      </x:c>
      <x:c r="L75" s="38" t="n">
        <x:v>0.00942</x:v>
      </x:c>
      <x:c r="M75" s="39"/>
      <x:c r="N75" s="39"/>
      <x:c r="O75" s="39"/>
      <x:c r="P75" s="39"/>
      <x:c r="Q75" s="39"/>
      <x:c r="R75" s="39"/>
      <x:c r="S75" s="39"/>
      <x:c r="T75" s="38" t="n">
        <x:f>L75+SUM(M75:S75)</x:f>
        <x:v>0.00942</x:v>
      </x:c>
      <x:c r="U75" s="39"/>
      <x:c r="V75" s="38" t="str">
        <x:f>IF(U75="","",T75-U75)</x:f>
      </x:c>
      <x:c r="W75" s="28"/>
    </x:row>
    <x:row r="76">
      <x:c r="A76" s="30" t="n">
        <x:v>76</x:v>
      </x:c>
      <x:c r="B76" s="30" t="n">
        <x:v>4</x:v>
      </x:c>
      <x:c r="C76" s="31" t="str">
        <x:f>REPT(" ",B76)&amp;TRIM(RIGHT(SUBSTITUTE(D76," ",REPT(" ",99)),99))</x:f>
        <x:v>    h3</x:v>
      </x:c>
      <x:c r="D76" s="18" t="str">
        <x:v>d4 d5 Bf4 h5 Nf3 Nf6 h3</x:v>
      </x:c>
      <x:c r="E76" s="18" t="str">
        <x:v>siz</x:v>
      </x:c>
      <x:c r="F76" s="34" t="str">
        <x:f>IF(COUNTIF($E$2:E76,E76)&gt;1,MATCH(E76,$E:$E,0),"")</x:f>
      </x:c>
      <x:c r="G76" s="34" t="str">
        <x:f>IF(F76="","",COUNTIF($F$2:F76,"&gt;0"))</x:f>
      </x:c>
      <x:c r="H76" s="34" t="n">
        <x:v>74</x:v>
      </x:c>
      <x:c r="I76" s="35" t="b">
        <x:v>1</x:v>
      </x:c>
      <x:c r="J76" s="38" t="n">
        <x:v>0.23800999999999997</x:v>
      </x:c>
      <x:c r="K76" s="38" t="n">
        <x:v>0.00322</x:v>
      </x:c>
      <x:c r="L76" s="38" t="n">
        <x:v>0.00322</x:v>
      </x:c>
      <x:c r="M76" s="39"/>
      <x:c r="N76" s="39"/>
      <x:c r="O76" s="39"/>
      <x:c r="P76" s="39"/>
      <x:c r="Q76" s="39"/>
      <x:c r="R76" s="39"/>
      <x:c r="S76" s="39"/>
      <x:c r="T76" s="38" t="n">
        <x:f>L76+SUM(M76:S76)</x:f>
        <x:v>0.00322</x:v>
      </x:c>
      <x:c r="U76" s="39"/>
      <x:c r="V76" s="38" t="str">
        <x:f>IF(U76="","",T76-U76)</x:f>
      </x:c>
      <x:c r="W76" s="28"/>
    </x:row>
    <x:row r="77">
      <x:c r="A77" s="30" t="n">
        <x:v>77</x:v>
      </x:c>
      <x:c r="B77" s="30" t="n">
        <x:v>4</x:v>
      </x:c>
      <x:c r="C77" s="31" t="str">
        <x:f>REPT(" ",B77)&amp;TRIM(RIGHT(SUBSTITUTE(D77," ",REPT(" ",99)),99))</x:f>
        <x:v>    Nbd2</x:v>
      </x:c>
      <x:c r="D77" s="18" t="str">
        <x:v>d4 d5 Bf4 h5 Nf3 Nf6 Nbd2</x:v>
      </x:c>
      <x:c r="E77" s="18" t="str">
        <x:v>uwr</x:v>
      </x:c>
      <x:c r="F77" s="34" t="str">
        <x:f>IF(COUNTIF($E$2:E77,E77)&gt;1,MATCH(E77,$E:$E,0),"")</x:f>
      </x:c>
      <x:c r="G77" s="34" t="str">
        <x:f>IF(F77="","",COUNTIF($F$2:F77,"&gt;0"))</x:f>
      </x:c>
      <x:c r="H77" s="34" t="n">
        <x:v>74</x:v>
      </x:c>
      <x:c r="I77" s="35" t="b">
        <x:v>1</x:v>
      </x:c>
      <x:c r="J77" s="38" t="n">
        <x:v>0.06561</x:v>
      </x:c>
      <x:c r="K77" s="38" t="n">
        <x:v>0.00089</x:v>
      </x:c>
      <x:c r="L77" s="38" t="n">
        <x:v>0.00089</x:v>
      </x:c>
      <x:c r="M77" s="39"/>
      <x:c r="N77" s="39"/>
      <x:c r="O77" s="39"/>
      <x:c r="P77" s="39"/>
      <x:c r="Q77" s="39"/>
      <x:c r="R77" s="39"/>
      <x:c r="S77" s="39"/>
      <x:c r="T77" s="38" t="n">
        <x:f>L77+SUM(M77:S77)</x:f>
        <x:v>0.00089</x:v>
      </x:c>
      <x:c r="U77" s="39"/>
      <x:c r="V77" s="38" t="str">
        <x:f>IF(U77="","",T77-U77)</x:f>
      </x:c>
      <x:c r="W77" s="28"/>
    </x:row>
    <x:row r="78">
      <x:c r="A78" s="30" t="n">
        <x:v>78</x:v>
      </x:c>
      <x:c r="B78" s="30" t="n">
        <x:v>3</x:v>
      </x:c>
      <x:c r="C78" s="31" t="str">
        <x:f>REPT(" ",B78)&amp;TRIM(RIGHT(SUBSTITUTE(D78," ",REPT(" ",99)),99))</x:f>
        <x:v>   h3</x:v>
      </x:c>
      <x:c r="D78" s="18" t="str">
        <x:v>d4 d5 Bf4 h5 h3</x:v>
      </x:c>
      <x:c r="E78" s="18" t="str">
        <x:v>gyk</x:v>
      </x:c>
      <x:c r="F78" s="34" t="str">
        <x:f>IF(COUNTIF($E$2:E78,E78)&gt;1,MATCH(E78,$E:$E,0),"")</x:f>
      </x:c>
      <x:c r="G78" s="34" t="str">
        <x:f>IF(F78="","",COUNTIF($F$2:F78,"&gt;0"))</x:f>
      </x:c>
      <x:c r="H78" s="34" t="n">
        <x:v>70</x:v>
      </x:c>
      <x:c r="I78" s="35" t="b">
        <x:v>0</x:v>
      </x:c>
      <x:c r="J78" s="38" t="n">
        <x:v>0.19463</x:v>
      </x:c>
      <x:c r="K78" s="38" t="n">
        <x:v>0.01142</x:v>
      </x:c>
      <x:c r="L78" s="38" t="n">
        <x:v>0.01142</x:v>
      </x:c>
      <x:c r="M78" s="39"/>
      <x:c r="N78" s="39"/>
      <x:c r="O78" s="39"/>
      <x:c r="P78" s="39"/>
      <x:c r="Q78" s="39"/>
      <x:c r="R78" s="39"/>
      <x:c r="S78" s="39"/>
      <x:c r="T78" s="38" t="n">
        <x:f>L78+SUM(M78:S78)</x:f>
        <x:v>0.01142</x:v>
      </x:c>
      <x:c r="U78" s="39"/>
      <x:c r="V78" s="38" t="str">
        <x:f>IF(U78="","",T78-U78)</x:f>
      </x:c>
      <x:c r="W78" s="28"/>
    </x:row>
    <x:row r="79">
      <x:c r="A79" s="30" t="n">
        <x:v>79</x:v>
      </x:c>
      <x:c r="B79" s="30" t="n">
        <x:v>4</x:v>
      </x:c>
      <x:c r="C79" s="31" t="str">
        <x:f>REPT(" ",B79)&amp;TRIM(RIGHT(SUBSTITUTE(D79," ",REPT(" ",99)),99))</x:f>
        <x:v>    e3</x:v>
      </x:c>
      <x:c r="D79" s="18" t="str">
        <x:v>d4 d5 Bf4 h5 h3 c5 e3</x:v>
      </x:c>
      <x:c r="E79" s="18" t="str">
        <x:v>bxo</x:v>
      </x:c>
      <x:c r="F79" s="34" t="str">
        <x:f>IF(COUNTIF($E$2:E79,E79)&gt;1,MATCH(E79,$E:$E,0),"")</x:f>
      </x:c>
      <x:c r="G79" s="34" t="str">
        <x:f>IF(F79="","",COUNTIF($F$2:F79,"&gt;0"))</x:f>
      </x:c>
      <x:c r="H79" s="34" t="n">
        <x:v>78</x:v>
      </x:c>
      <x:c r="I79" s="35" t="b">
        <x:v>1</x:v>
      </x:c>
      <x:c r="J79" s="38" t="n">
        <x:v>0.60465</x:v>
      </x:c>
      <x:c r="K79" s="38" t="n">
        <x:v>0.0069099999999999995</x:v>
      </x:c>
      <x:c r="L79" s="38" t="n">
        <x:v>0.0069099999999999995</x:v>
      </x:c>
      <x:c r="M79" s="39"/>
      <x:c r="N79" s="39"/>
      <x:c r="O79" s="39"/>
      <x:c r="P79" s="39"/>
      <x:c r="Q79" s="39"/>
      <x:c r="R79" s="39"/>
      <x:c r="S79" s="39"/>
      <x:c r="T79" s="38" t="n">
        <x:f>L79+SUM(M79:S79)</x:f>
        <x:v>0.0069099999999999995</x:v>
      </x:c>
      <x:c r="U79" s="39"/>
      <x:c r="V79" s="38" t="str">
        <x:f>IF(U79="","",T79-U79)</x:f>
      </x:c>
      <x:c r="W79" s="28"/>
    </x:row>
    <x:row r="80">
      <x:c r="A80" s="30" t="n">
        <x:v>80</x:v>
      </x:c>
      <x:c r="B80" s="30" t="n">
        <x:v>4</x:v>
      </x:c>
      <x:c r="C80" s="31" t="str">
        <x:f>REPT(" ",B80)&amp;TRIM(RIGHT(SUBSTITUTE(D80," ",REPT(" ",99)),99))</x:f>
        <x:v>    c3</x:v>
      </x:c>
      <x:c r="D80" s="18" t="str">
        <x:v>d4 d5 Bf4 h5 h3 c5 c3</x:v>
      </x:c>
      <x:c r="E80" s="18" t="str">
        <x:v>dll</x:v>
      </x:c>
      <x:c r="F80" s="34" t="str">
        <x:f>IF(COUNTIF($E$2:E80,E80)&gt;1,MATCH(E80,$E:$E,0),"")</x:f>
      </x:c>
      <x:c r="G80" s="34" t="str">
        <x:f>IF(F80="","",COUNTIF($F$2:F80,"&gt;0"))</x:f>
      </x:c>
      <x:c r="H80" s="34" t="n">
        <x:v>78</x:v>
      </x:c>
      <x:c r="I80" s="35" t="b">
        <x:v>1</x:v>
      </x:c>
      <x:c r="J80" s="38" t="n">
        <x:v>0.24495999999999998</x:v>
      </x:c>
      <x:c r="K80" s="38" t="n">
        <x:v>0.0028000000000000004</x:v>
      </x:c>
      <x:c r="L80" s="38" t="n">
        <x:v>0.0028000000000000004</x:v>
      </x:c>
      <x:c r="M80" s="39"/>
      <x:c r="N80" s="39"/>
      <x:c r="O80" s="39"/>
      <x:c r="P80" s="39"/>
      <x:c r="Q80" s="39"/>
      <x:c r="R80" s="39"/>
      <x:c r="S80" s="39"/>
      <x:c r="T80" s="38" t="n">
        <x:f>L80+SUM(M80:S80)</x:f>
        <x:v>0.0028000000000000004</x:v>
      </x:c>
      <x:c r="U80" s="39"/>
      <x:c r="V80" s="38" t="str">
        <x:f>IF(U80="","",T80-U80)</x:f>
      </x:c>
      <x:c r="W80" s="28"/>
    </x:row>
    <x:row r="81">
      <x:c r="A81" s="30" t="n">
        <x:v>81</x:v>
      </x:c>
      <x:c r="B81" s="30" t="n">
        <x:v>4</x:v>
      </x:c>
      <x:c r="C81" s="31" t="str">
        <x:f>REPT(" ",B81)&amp;TRIM(RIGHT(SUBSTITUTE(D81," ",REPT(" ",99)),99))</x:f>
        <x:v>    dxc5</x:v>
      </x:c>
      <x:c r="D81" s="18" t="str">
        <x:v>d4 d5 Bf4 h5 h3 c5 dxc5</x:v>
      </x:c>
      <x:c r="E81" s="18" t="str">
        <x:v>tiz</x:v>
      </x:c>
      <x:c r="F81" s="34" t="str">
        <x:f>IF(COUNTIF($E$2:E81,E81)&gt;1,MATCH(E81,$E:$E,0),"")</x:f>
      </x:c>
      <x:c r="G81" s="34" t="str">
        <x:f>IF(F81="","",COUNTIF($F$2:F81,"&gt;0"))</x:f>
      </x:c>
      <x:c r="H81" s="34" t="n">
        <x:v>78</x:v>
      </x:c>
      <x:c r="I81" s="35" t="b">
        <x:v>1</x:v>
      </x:c>
      <x:c r="J81" s="38" t="n">
        <x:v>0.07597000000000001</x:v>
      </x:c>
      <x:c r="K81" s="38" t="n">
        <x:v>0.0008699999999999999</x:v>
      </x:c>
      <x:c r="L81" s="38" t="n">
        <x:v>0.0008699999999999999</x:v>
      </x:c>
      <x:c r="M81" s="39"/>
      <x:c r="N81" s="39"/>
      <x:c r="O81" s="39"/>
      <x:c r="P81" s="39"/>
      <x:c r="Q81" s="39"/>
      <x:c r="R81" s="39"/>
      <x:c r="S81" s="39"/>
      <x:c r="T81" s="38" t="n">
        <x:f>L81+SUM(M81:S81)</x:f>
        <x:v>0.0008699999999999999</x:v>
      </x:c>
      <x:c r="U81" s="39"/>
      <x:c r="V81" s="38" t="str">
        <x:f>IF(U81="","",T81-U81)</x:f>
      </x:c>
      <x:c r="W81" s="28"/>
    </x:row>
    <x:row r="82">
      <x:c r="A82" s="30" t="n">
        <x:v>82</x:v>
      </x:c>
      <x:c r="B82" s="30" t="n">
        <x:v>4</x:v>
      </x:c>
      <x:c r="C82" s="31" t="str">
        <x:f>REPT(" ",B82)&amp;TRIM(RIGHT(SUBSTITUTE(D82," ",REPT(" ",99)),99))</x:f>
        <x:v>    Nf3</x:v>
      </x:c>
      <x:c r="D82" s="18" t="str">
        <x:v>d4 d5 Bf4 h5 h3 c5 Nf3</x:v>
      </x:c>
      <x:c r="E82" s="18" t="str">
        <x:v>dcm</x:v>
      </x:c>
      <x:c r="F82" s="34" t="str">
        <x:f>IF(COUNTIF($E$2:E82,E82)&gt;1,MATCH(E82,$E:$E,0),"")</x:f>
      </x:c>
      <x:c r="G82" s="34" t="str">
        <x:f>IF(F82="","",COUNTIF($F$2:F82,"&gt;0"))</x:f>
      </x:c>
      <x:c r="H82" s="34" t="n">
        <x:v>78</x:v>
      </x:c>
      <x:c r="I82" s="35" t="b">
        <x:v>1</x:v>
      </x:c>
      <x:c r="J82" s="38" t="n">
        <x:v>0.07442</x:v>
      </x:c>
      <x:c r="K82" s="38" t="n">
        <x:v>0.0008500000000000001</x:v>
      </x:c>
      <x:c r="L82" s="38" t="n">
        <x:v>0.0008500000000000001</x:v>
      </x:c>
      <x:c r="M82" s="39"/>
      <x:c r="N82" s="39"/>
      <x:c r="O82" s="39"/>
      <x:c r="P82" s="39"/>
      <x:c r="Q82" s="39"/>
      <x:c r="R82" s="39"/>
      <x:c r="S82" s="39"/>
      <x:c r="T82" s="38" t="n">
        <x:f>L82+SUM(M82:S82)</x:f>
        <x:v>0.0008500000000000001</x:v>
      </x:c>
      <x:c r="U82" s="39"/>
      <x:c r="V82" s="38" t="str">
        <x:f>IF(U82="","",T82-U82)</x:f>
      </x:c>
      <x:c r="W82" s="28"/>
    </x:row>
    <x:row r="83">
      <x:c r="A83" s="30" t="n">
        <x:v>83</x:v>
      </x:c>
      <x:c r="B83" s="30" t="n">
        <x:v>3</x:v>
      </x:c>
      <x:c r="C83" s="31" t="str">
        <x:f>REPT(" ",B83)&amp;TRIM(RIGHT(SUBSTITUTE(D83," ",REPT(" ",99)),99))</x:f>
        <x:v>   h4</x:v>
      </x:c>
      <x:c r="D83" s="18" t="str">
        <x:v>d4 d5 Bf4 h5 h4</x:v>
      </x:c>
      <x:c r="E83" s="18" t="str">
        <x:v>rdm</x:v>
      </x:c>
      <x:c r="F83" s="34" t="str">
        <x:f>IF(COUNTIF($E$2:E83,E83)&gt;1,MATCH(E83,$E:$E,0),"")</x:f>
      </x:c>
      <x:c r="G83" s="34" t="str">
        <x:f>IF(F83="","",COUNTIF($F$2:F83,"&gt;0"))</x:f>
      </x:c>
      <x:c r="H83" s="34" t="n">
        <x:v>70</x:v>
      </x:c>
      <x:c r="I83" s="35" t="b">
        <x:v>0</x:v>
      </x:c>
      <x:c r="J83" s="38" t="n">
        <x:v>0.10553000000000001</x:v>
      </x:c>
      <x:c r="K83" s="38" t="n">
        <x:v>0.00619</x:v>
      </x:c>
      <x:c r="L83" s="38" t="n">
        <x:v>0.00619</x:v>
      </x:c>
      <x:c r="M83" s="39"/>
      <x:c r="N83" s="39"/>
      <x:c r="O83" s="39"/>
      <x:c r="P83" s="39"/>
      <x:c r="Q83" s="39"/>
      <x:c r="R83" s="39"/>
      <x:c r="S83" s="39"/>
      <x:c r="T83" s="38" t="n">
        <x:f>L83+SUM(M83:S83)</x:f>
        <x:v>0.00619</x:v>
      </x:c>
      <x:c r="U83" s="39"/>
      <x:c r="V83" s="38" t="str">
        <x:f>IF(U83="","",T83-U83)</x:f>
      </x:c>
      <x:c r="W83" s="28"/>
    </x:row>
    <x:row r="84">
      <x:c r="A84" s="30" t="n">
        <x:v>84</x:v>
      </x:c>
      <x:c r="B84" s="30" t="n">
        <x:v>4</x:v>
      </x:c>
      <x:c r="C84" s="31" t="str">
        <x:f>REPT(" ",B84)&amp;TRIM(RIGHT(SUBSTITUTE(D84," ",REPT(" ",99)),99))</x:f>
        <x:v>    e3</x:v>
      </x:c>
      <x:c r="D84" s="18" t="str">
        <x:v>d4 d5 Bf4 h5 h4 c5 e3</x:v>
      </x:c>
      <x:c r="E84" s="18" t="str">
        <x:v>cbv</x:v>
      </x:c>
      <x:c r="F84" s="34" t="str">
        <x:f>IF(COUNTIF($E$2:E84,E84)&gt;1,MATCH(E84,$E:$E,0),"")</x:f>
      </x:c>
      <x:c r="G84" s="34" t="str">
        <x:f>IF(F84="","",COUNTIF($F$2:F84,"&gt;0"))</x:f>
      </x:c>
      <x:c r="H84" s="34" t="n">
        <x:v>83</x:v>
      </x:c>
      <x:c r="I84" s="35" t="b">
        <x:v>1</x:v>
      </x:c>
      <x:c r="J84" s="38" t="n">
        <x:v>0.63325</x:v>
      </x:c>
      <x:c r="K84" s="38" t="n">
        <x:v>0.00392</x:v>
      </x:c>
      <x:c r="L84" s="38" t="n">
        <x:v>0.00392</x:v>
      </x:c>
      <x:c r="M84" s="39"/>
      <x:c r="N84" s="39"/>
      <x:c r="O84" s="39"/>
      <x:c r="P84" s="39"/>
      <x:c r="Q84" s="39"/>
      <x:c r="R84" s="39"/>
      <x:c r="S84" s="39"/>
      <x:c r="T84" s="38" t="n">
        <x:f>L84+SUM(M84:S84)</x:f>
        <x:v>0.00392</x:v>
      </x:c>
      <x:c r="U84" s="39"/>
      <x:c r="V84" s="38" t="str">
        <x:f>IF(U84="","",T84-U84)</x:f>
      </x:c>
      <x:c r="W84" s="28"/>
    </x:row>
    <x:row r="85">
      <x:c r="A85" s="30" t="n">
        <x:v>85</x:v>
      </x:c>
      <x:c r="B85" s="30" t="n">
        <x:v>4</x:v>
      </x:c>
      <x:c r="C85" s="31" t="str">
        <x:f>REPT(" ",B85)&amp;TRIM(RIGHT(SUBSTITUTE(D85," ",REPT(" ",99)),99))</x:f>
        <x:v>    c3</x:v>
      </x:c>
      <x:c r="D85" s="18" t="str">
        <x:v>d4 d5 Bf4 h5 h4 c5 c3</x:v>
      </x:c>
      <x:c r="E85" s="18" t="str">
        <x:v>utl</x:v>
      </x:c>
      <x:c r="F85" s="34" t="str">
        <x:f>IF(COUNTIF($E$2:E85,E85)&gt;1,MATCH(E85,$E:$E,0),"")</x:f>
      </x:c>
      <x:c r="G85" s="34" t="str">
        <x:f>IF(F85="","",COUNTIF($F$2:F85,"&gt;0"))</x:f>
      </x:c>
      <x:c r="H85" s="34" t="n">
        <x:v>83</x:v>
      </x:c>
      <x:c r="I85" s="35" t="b">
        <x:v>1</x:v>
      </x:c>
      <x:c r="J85" s="38" t="n">
        <x:v>0.22163</x:v>
      </x:c>
      <x:c r="K85" s="38" t="n">
        <x:v>0.0013700000000000001</x:v>
      </x:c>
      <x:c r="L85" s="38" t="n">
        <x:v>0.0013700000000000001</x:v>
      </x:c>
      <x:c r="M85" s="39"/>
      <x:c r="N85" s="39"/>
      <x:c r="O85" s="39"/>
      <x:c r="P85" s="39"/>
      <x:c r="Q85" s="39"/>
      <x:c r="R85" s="39"/>
      <x:c r="S85" s="39"/>
      <x:c r="T85" s="38" t="n">
        <x:f>L85+SUM(M85:S85)</x:f>
        <x:v>0.0013700000000000001</x:v>
      </x:c>
      <x:c r="U85" s="39"/>
      <x:c r="V85" s="38" t="str">
        <x:f>IF(U85="","",T85-U85)</x:f>
      </x:c>
      <x:c r="W85" s="28"/>
    </x:row>
    <x:row r="86">
      <x:c r="A86" s="30" t="n">
        <x:v>86</x:v>
      </x:c>
      <x:c r="B86" s="30" t="n">
        <x:v>4</x:v>
      </x:c>
      <x:c r="C86" s="31" t="str">
        <x:f>REPT(" ",B86)&amp;TRIM(RIGHT(SUBSTITUTE(D86," ",REPT(" ",99)),99))</x:f>
        <x:v>    dxc5</x:v>
      </x:c>
      <x:c r="D86" s="18" t="str">
        <x:v>d4 d5 Bf4 h5 h4 c5 dxc5</x:v>
      </x:c>
      <x:c r="E86" s="18" t="str">
        <x:v>sgw</x:v>
      </x:c>
      <x:c r="F86" s="34" t="str">
        <x:f>IF(COUNTIF($E$2:E86,E86)&gt;1,MATCH(E86,$E:$E,0),"")</x:f>
      </x:c>
      <x:c r="G86" s="34" t="str">
        <x:f>IF(F86="","",COUNTIF($F$2:F86,"&gt;0"))</x:f>
      </x:c>
      <x:c r="H86" s="34" t="n">
        <x:v>83</x:v>
      </x:c>
      <x:c r="I86" s="35" t="b">
        <x:v>1</x:v>
      </x:c>
      <x:c r="J86" s="38" t="n">
        <x:v>0.07388</x:v>
      </x:c>
      <x:c r="K86" s="38" t="n">
        <x:v>0.00046</x:v>
      </x:c>
      <x:c r="L86" s="38" t="n">
        <x:v>0.00046</x:v>
      </x:c>
      <x:c r="M86" s="39"/>
      <x:c r="N86" s="39"/>
      <x:c r="O86" s="39"/>
      <x:c r="P86" s="39"/>
      <x:c r="Q86" s="39"/>
      <x:c r="R86" s="39"/>
      <x:c r="S86" s="39"/>
      <x:c r="T86" s="38" t="n">
        <x:f>L86+SUM(M86:S86)</x:f>
        <x:v>0.00046</x:v>
      </x:c>
      <x:c r="U86" s="39"/>
      <x:c r="V86" s="38" t="str">
        <x:f>IF(U86="","",T86-U86)</x:f>
      </x:c>
      <x:c r="W86" s="28"/>
    </x:row>
    <x:row r="87">
      <x:c r="A87" s="30" t="n">
        <x:v>87</x:v>
      </x:c>
      <x:c r="B87" s="30" t="n">
        <x:v>4</x:v>
      </x:c>
      <x:c r="C87" s="31" t="str">
        <x:f>REPT(" ",B87)&amp;TRIM(RIGHT(SUBSTITUTE(D87," ",REPT(" ",99)),99))</x:f>
        <x:v>    Nf3</x:v>
      </x:c>
      <x:c r="D87" s="18" t="str">
        <x:v>d4 d5 Bf4 h5 h4 c5 Nf3</x:v>
      </x:c>
      <x:c r="E87" s="18" t="str">
        <x:v>crj</x:v>
      </x:c>
      <x:c r="F87" s="34" t="str">
        <x:f>IF(COUNTIF($E$2:E87,E87)&gt;1,MATCH(E87,$E:$E,0),"")</x:f>
      </x:c>
      <x:c r="G87" s="34" t="str">
        <x:f>IF(F87="","",COUNTIF($F$2:F87,"&gt;0"))</x:f>
      </x:c>
      <x:c r="H87" s="34" t="n">
        <x:v>83</x:v>
      </x:c>
      <x:c r="I87" s="35" t="b">
        <x:v>1</x:v>
      </x:c>
      <x:c r="J87" s="38" t="n">
        <x:v>0.07124</x:v>
      </x:c>
      <x:c r="K87" s="38" t="n">
        <x:v>0.00043999999999999996</x:v>
      </x:c>
      <x:c r="L87" s="38" t="n">
        <x:v>0.00043999999999999996</x:v>
      </x:c>
      <x:c r="M87" s="39"/>
      <x:c r="N87" s="39"/>
      <x:c r="O87" s="39"/>
      <x:c r="P87" s="39"/>
      <x:c r="Q87" s="39"/>
      <x:c r="R87" s="39"/>
      <x:c r="S87" s="39"/>
      <x:c r="T87" s="38" t="n">
        <x:f>L87+SUM(M87:S87)</x:f>
        <x:v>0.00043999999999999996</x:v>
      </x:c>
      <x:c r="U87" s="39"/>
      <x:c r="V87" s="38" t="str">
        <x:f>IF(U87="","",T87-U87)</x:f>
      </x:c>
      <x:c r="W87" s="28"/>
    </x:row>
    <x:row r="88">
      <x:c r="A88" s="30" t="n">
        <x:v>88</x:v>
      </x:c>
      <x:c r="B88" s="30" t="n">
        <x:v>3</x:v>
      </x:c>
      <x:c r="C88" s="31" t="str">
        <x:f>REPT(" ",B88)&amp;TRIM(RIGHT(SUBSTITUTE(D88," ",REPT(" ",99)),99))</x:f>
        <x:v>   Nc3</x:v>
      </x:c>
      <x:c r="D88" s="18" t="str">
        <x:v>d4 d5 Bf4 h5 Nc3</x:v>
      </x:c>
      <x:c r="E88" s="18" t="str">
        <x:v>hex</x:v>
      </x:c>
      <x:c r="F88" s="34" t="str">
        <x:f>IF(COUNTIF($E$2:E88,E88)&gt;1,MATCH(E88,$E:$E,0),"")</x:f>
      </x:c>
      <x:c r="G88" s="34" t="str">
        <x:f>IF(F88="","",COUNTIF($F$2:F88,"&gt;0"))</x:f>
      </x:c>
      <x:c r="H88" s="34" t="n">
        <x:v>70</x:v>
      </x:c>
      <x:c r="I88" s="35" t="b">
        <x:v>0</x:v>
      </x:c>
      <x:c r="J88" s="38" t="n">
        <x:v>0.06157</x:v>
      </x:c>
      <x:c r="K88" s="38" t="n">
        <x:v>0.00361</x:v>
      </x:c>
      <x:c r="L88" s="38" t="n">
        <x:v>0.00361</x:v>
      </x:c>
      <x:c r="M88" s="39"/>
      <x:c r="N88" s="39"/>
      <x:c r="O88" s="39"/>
      <x:c r="P88" s="39"/>
      <x:c r="Q88" s="39"/>
      <x:c r="R88" s="39"/>
      <x:c r="S88" s="39"/>
      <x:c r="T88" s="38" t="n">
        <x:f>L88+SUM(M88:S88)</x:f>
        <x:v>0.00361</x:v>
      </x:c>
      <x:c r="U88" s="39"/>
      <x:c r="V88" s="38" t="str">
        <x:f>IF(U88="","",T88-U88)</x:f>
      </x:c>
      <x:c r="W88" s="28"/>
    </x:row>
    <x:row r="89">
      <x:c r="A89" s="30" t="n">
        <x:v>89</x:v>
      </x:c>
      <x:c r="B89" s="30" t="n">
        <x:v>4</x:v>
      </x:c>
      <x:c r="C89" s="31" t="str">
        <x:f>REPT(" ",B89)&amp;TRIM(RIGHT(SUBSTITUTE(D89," ",REPT(" ",99)),99))</x:f>
        <x:v>    e3</x:v>
      </x:c>
      <x:c r="D89" s="18" t="str">
        <x:v>d4 d5 Bf4 h5 Nc3 Bf5 e3</x:v>
      </x:c>
      <x:c r="E89" s="18" t="str">
        <x:v>nba</x:v>
      </x:c>
      <x:c r="F89" s="34" t="str">
        <x:f>IF(COUNTIF($E$2:E89,E89)&gt;1,MATCH(E89,$E:$E,0),"")</x:f>
      </x:c>
      <x:c r="G89" s="34" t="str">
        <x:f>IF(F89="","",COUNTIF($F$2:F89,"&gt;0"))</x:f>
      </x:c>
      <x:c r="H89" s="34" t="n">
        <x:v>88</x:v>
      </x:c>
      <x:c r="I89" s="35" t="b">
        <x:v>1</x:v>
      </x:c>
      <x:c r="J89" s="38" t="n">
        <x:v>0.40603</x:v>
      </x:c>
      <x:c r="K89" s="38" t="n">
        <x:v>0.00147</x:v>
      </x:c>
      <x:c r="L89" s="38" t="n">
        <x:v>0.00147</x:v>
      </x:c>
      <x:c r="M89" s="39"/>
      <x:c r="N89" s="39"/>
      <x:c r="O89" s="39"/>
      <x:c r="P89" s="39"/>
      <x:c r="Q89" s="39"/>
      <x:c r="R89" s="39"/>
      <x:c r="S89" s="39"/>
      <x:c r="T89" s="38" t="n">
        <x:f>L89+SUM(M89:S89)</x:f>
        <x:v>0.00147</x:v>
      </x:c>
      <x:c r="U89" s="39"/>
      <x:c r="V89" s="38" t="str">
        <x:f>IF(U89="","",T89-U89)</x:f>
      </x:c>
      <x:c r="W89" s="28"/>
    </x:row>
    <x:row r="90">
      <x:c r="A90" s="30" t="n">
        <x:v>90</x:v>
      </x:c>
      <x:c r="B90" s="30" t="n">
        <x:v>4</x:v>
      </x:c>
      <x:c r="C90" s="31" t="str">
        <x:f>REPT(" ",B90)&amp;TRIM(RIGHT(SUBSTITUTE(D90," ",REPT(" ",99)),99))</x:f>
        <x:v>    Nb5</x:v>
      </x:c>
      <x:c r="D90" s="18" t="str">
        <x:v>d4 d5 Bf4 h5 Nc3 Bf5 Nb5</x:v>
      </x:c>
      <x:c r="E90" s="18" t="str">
        <x:v>dvx</x:v>
      </x:c>
      <x:c r="F90" s="34" t="str">
        <x:f>IF(COUNTIF($E$2:E90,E90)&gt;1,MATCH(E90,$E:$E,0),"")</x:f>
      </x:c>
      <x:c r="G90" s="34" t="str">
        <x:f>IF(F90="","",COUNTIF($F$2:F90,"&gt;0"))</x:f>
      </x:c>
      <x:c r="H90" s="34" t="n">
        <x:v>88</x:v>
      </x:c>
      <x:c r="I90" s="35" t="b">
        <x:v>1</x:v>
      </x:c>
      <x:c r="J90" s="38" t="n">
        <x:v>0.19504000000000002</x:v>
      </x:c>
      <x:c r="K90" s="38" t="n">
        <x:v>0.0007000000000000001</x:v>
      </x:c>
      <x:c r="L90" s="38" t="n">
        <x:v>0.0007000000000000001</x:v>
      </x:c>
      <x:c r="M90" s="39"/>
      <x:c r="N90" s="39"/>
      <x:c r="O90" s="39"/>
      <x:c r="P90" s="39"/>
      <x:c r="Q90" s="39"/>
      <x:c r="R90" s="39"/>
      <x:c r="S90" s="39"/>
      <x:c r="T90" s="38" t="n">
        <x:f>L90+SUM(M90:S90)</x:f>
        <x:v>0.0007000000000000001</x:v>
      </x:c>
      <x:c r="U90" s="39"/>
      <x:c r="V90" s="38" t="str">
        <x:f>IF(U90="","",T90-U90)</x:f>
      </x:c>
      <x:c r="W90" s="28"/>
    </x:row>
    <x:row r="91">
      <x:c r="A91" s="30" t="n">
        <x:v>91</x:v>
      </x:c>
      <x:c r="B91" s="30" t="n">
        <x:v>4</x:v>
      </x:c>
      <x:c r="C91" s="31" t="str">
        <x:f>REPT(" ",B91)&amp;TRIM(RIGHT(SUBSTITUTE(D91," ",REPT(" ",99)),99))</x:f>
        <x:v>    Nf3</x:v>
      </x:c>
      <x:c r="D91" s="18" t="str">
        <x:v>d4 d5 Bf4 h5 Nc3 Bf5 Nf3</x:v>
      </x:c>
      <x:c r="E91" s="18" t="str">
        <x:v>rcs</x:v>
      </x:c>
      <x:c r="F91" s="34" t="str">
        <x:f>IF(COUNTIF($E$2:E91,E91)&gt;1,MATCH(E91,$E:$E,0),"")</x:f>
      </x:c>
      <x:c r="G91" s="34" t="str">
        <x:f>IF(F91="","",COUNTIF($F$2:F91,"&gt;0"))</x:f>
      </x:c>
      <x:c r="H91" s="34" t="n">
        <x:v>88</x:v>
      </x:c>
      <x:c r="I91" s="35" t="b">
        <x:v>1</x:v>
      </x:c>
      <x:c r="J91" s="38" t="n">
        <x:v>0.16313</x:v>
      </x:c>
      <x:c r="K91" s="38" t="n">
        <x:v>0.0005899999999999999</x:v>
      </x:c>
      <x:c r="L91" s="38" t="n">
        <x:v>0.0005899999999999999</x:v>
      </x:c>
      <x:c r="M91" s="39"/>
      <x:c r="N91" s="39"/>
      <x:c r="O91" s="39"/>
      <x:c r="P91" s="39"/>
      <x:c r="Q91" s="39"/>
      <x:c r="R91" s="39"/>
      <x:c r="S91" s="39"/>
      <x:c r="T91" s="38" t="n">
        <x:f>L91+SUM(M91:S91)</x:f>
        <x:v>0.0005899999999999999</x:v>
      </x:c>
      <x:c r="U91" s="39"/>
      <x:c r="V91" s="38" t="str">
        <x:f>IF(U91="","",T91-U91)</x:f>
      </x:c>
      <x:c r="W91" s="28"/>
    </x:row>
    <x:row r="92">
      <x:c r="A92" s="30" t="n">
        <x:v>92</x:v>
      </x:c>
      <x:c r="B92" s="30" t="n">
        <x:v>4</x:v>
      </x:c>
      <x:c r="C92" s="31" t="str">
        <x:f>REPT(" ",B92)&amp;TRIM(RIGHT(SUBSTITUTE(D92," ",REPT(" ",99)),99))</x:f>
        <x:v>    h3</x:v>
      </x:c>
      <x:c r="D92" s="18" t="str">
        <x:v>d4 d5 Bf4 h5 Nc3 Bf5 h3</x:v>
      </x:c>
      <x:c r="E92" s="18" t="str">
        <x:v>qta</x:v>
      </x:c>
      <x:c r="F92" s="34" t="str">
        <x:f>IF(COUNTIF($E$2:E92,E92)&gt;1,MATCH(E92,$E:$E,0),"")</x:f>
      </x:c>
      <x:c r="G92" s="34" t="str">
        <x:f>IF(F92="","",COUNTIF($F$2:F92,"&gt;0"))</x:f>
      </x:c>
      <x:c r="H92" s="34" t="n">
        <x:v>88</x:v>
      </x:c>
      <x:c r="I92" s="35" t="b">
        <x:v>1</x:v>
      </x:c>
      <x:c r="J92" s="38" t="n">
        <x:v>0.13119999999999998</x:v>
      </x:c>
      <x:c r="K92" s="38" t="n">
        <x:v>0.00047</x:v>
      </x:c>
      <x:c r="L92" s="38" t="n">
        <x:v>0.00047</x:v>
      </x:c>
      <x:c r="M92" s="39"/>
      <x:c r="N92" s="39"/>
      <x:c r="O92" s="39"/>
      <x:c r="P92" s="39"/>
      <x:c r="Q92" s="39"/>
      <x:c r="R92" s="39"/>
      <x:c r="S92" s="39"/>
      <x:c r="T92" s="38" t="n">
        <x:f>L92+SUM(M92:S92)</x:f>
        <x:v>0.00047</x:v>
      </x:c>
      <x:c r="U92" s="39"/>
      <x:c r="V92" s="38" t="str">
        <x:f>IF(U92="","",T92-U92)</x:f>
      </x:c>
      <x:c r="W92" s="28"/>
    </x:row>
    <x:row r="93">
      <x:c r="A93" s="30" t="n">
        <x:v>93</x:v>
      </x:c>
      <x:c r="B93" s="30" t="n">
        <x:v>4</x:v>
      </x:c>
      <x:c r="C93" s="31" t="str">
        <x:f>REPT(" ",B93)&amp;TRIM(RIGHT(SUBSTITUTE(D93," ",REPT(" ",99)),99))</x:f>
        <x:v>    f3</x:v>
      </x:c>
      <x:c r="D93" s="18" t="str">
        <x:v>d4 d5 Bf4 h5 Nc3 Bf5 f3</x:v>
      </x:c>
      <x:c r="E93" s="18" t="str">
        <x:v>cgh</x:v>
      </x:c>
      <x:c r="F93" s="34" t="str">
        <x:f>IF(COUNTIF($E$2:E93,E93)&gt;1,MATCH(E93,$E:$E,0),"")</x:f>
      </x:c>
      <x:c r="G93" s="34" t="str">
        <x:f>IF(F93="","",COUNTIF($F$2:F93,"&gt;0"))</x:f>
      </x:c>
      <x:c r="H93" s="34" t="n">
        <x:v>88</x:v>
      </x:c>
      <x:c r="I93" s="35" t="b">
        <x:v>1</x:v>
      </x:c>
      <x:c r="J93" s="38" t="n">
        <x:v>0.10461000000000001</x:v>
      </x:c>
      <x:c r="K93" s="38" t="n">
        <x:v>0.00037999999999999997</x:v>
      </x:c>
      <x:c r="L93" s="38" t="n">
        <x:v>0.00037999999999999997</x:v>
      </x:c>
      <x:c r="M93" s="39"/>
      <x:c r="N93" s="39"/>
      <x:c r="O93" s="39"/>
      <x:c r="P93" s="39"/>
      <x:c r="Q93" s="39"/>
      <x:c r="R93" s="39"/>
      <x:c r="S93" s="39"/>
      <x:c r="T93" s="38" t="n">
        <x:f>L93+SUM(M93:S93)</x:f>
        <x:v>0.00037999999999999997</x:v>
      </x:c>
      <x:c r="U93" s="39"/>
      <x:c r="V93" s="38" t="str">
        <x:f>IF(U93="","",T93-U93)</x:f>
      </x:c>
      <x:c r="W93" s="28"/>
    </x:row>
    <x:row r="94">
      <x:c r="A94" s="30" t="n">
        <x:v>94</x:v>
      </x:c>
      <x:c r="B94" s="30" t="n">
        <x:v>2</x:v>
      </x:c>
      <x:c r="C94" s="31" t="str">
        <x:f>REPT(" ",B94)&amp;TRIM(RIGHT(SUBSTITUTE(D94," ",REPT(" ",99)),99))</x:f>
        <x:v>  Nf3</x:v>
      </x:c>
      <x:c r="D94" s="18" t="str">
        <x:v>d4 d5 Nf3</x:v>
      </x:c>
      <x:c r="E94" s="18" t="str">
        <x:v>tuf</x:v>
      </x:c>
      <x:c r="F94" s="34" t="str">
        <x:f>IF(COUNTIF($E$2:E94,E94)&gt;1,MATCH(E94,$E:$E,0),"")</x:f>
      </x:c>
      <x:c r="G94" s="34" t="str">
        <x:f>IF(F94="","",COUNTIF($F$2:F94,"&gt;0"))</x:f>
      </x:c>
      <x:c r="H94" s="34" t="n">
        <x:v>52</x:v>
      </x:c>
      <x:c r="I94" s="35" t="b">
        <x:v>0</x:v>
      </x:c>
      <x:c r="J94" s="38" t="n">
        <x:v>0.16927</x:v>
      </x:c>
      <x:c r="K94" s="38" t="n">
        <x:v>0.04691</x:v>
      </x:c>
      <x:c r="L94" s="38" t="n">
        <x:v>0.04691</x:v>
      </x:c>
      <x:c r="M94" s="39"/>
      <x:c r="N94" s="39"/>
      <x:c r="O94" s="39"/>
      <x:c r="P94" s="39"/>
      <x:c r="Q94" s="39"/>
      <x:c r="R94" s="39"/>
      <x:c r="S94" s="39"/>
      <x:c r="T94" s="38" t="n">
        <x:f>L94+SUM(M94:S94)</x:f>
        <x:v>0.04691</x:v>
      </x:c>
      <x:c r="U94" s="39"/>
      <x:c r="V94" s="38" t="str">
        <x:f>IF(U94="","",T94-U94)</x:f>
      </x:c>
      <x:c r="W94" s="28"/>
    </x:row>
    <x:row r="95">
      <x:c r="A95" s="30" t="n">
        <x:v>95</x:v>
      </x:c>
      <x:c r="B95" s="30" t="n">
        <x:v>3</x:v>
      </x:c>
      <x:c r="C95" s="31" t="str">
        <x:f>REPT(" ",B95)&amp;TRIM(RIGHT(SUBSTITUTE(D95," ",REPT(" ",99)),99))</x:f>
        <x:v>   Bf4</x:v>
      </x:c>
      <x:c r="D95" s="18" t="str">
        <x:v>d4 d5 Nf3 c6 Bf4</x:v>
      </x:c>
      <x:c r="E95" s="18" t="str">
        <x:v>rxh</x:v>
      </x:c>
      <x:c r="F95" s="34" t="str">
        <x:f>IF(COUNTIF($E$2:E95,E95)&gt;1,MATCH(E95,$E:$E,0),"")</x:f>
      </x:c>
      <x:c r="G95" s="34" t="str">
        <x:f>IF(F95="","",COUNTIF($F$2:F95,"&gt;0"))</x:f>
      </x:c>
      <x:c r="H95" s="34" t="n">
        <x:v>94</x:v>
      </x:c>
      <x:c r="I95" s="35" t="b">
        <x:v>0</x:v>
      </x:c>
      <x:c r="J95" s="38" t="n">
        <x:v>0.30548</x:v>
      </x:c>
      <x:c r="K95" s="38" t="n">
        <x:v>0.01433</x:v>
      </x:c>
      <x:c r="L95" s="38" t="n">
        <x:v>0.01433</x:v>
      </x:c>
      <x:c r="M95" s="39"/>
      <x:c r="N95" s="39"/>
      <x:c r="O95" s="39"/>
      <x:c r="P95" s="39"/>
      <x:c r="Q95" s="39"/>
      <x:c r="R95" s="39"/>
      <x:c r="S95" s="39"/>
      <x:c r="T95" s="38" t="n">
        <x:f>L95+SUM(M95:S95)</x:f>
        <x:v>0.01433</x:v>
      </x:c>
      <x:c r="U95" s="39"/>
      <x:c r="V95" s="38" t="str">
        <x:f>IF(U95="","",T95-U95)</x:f>
      </x:c>
      <x:c r="W95" s="28"/>
    </x:row>
    <x:row r="96">
      <x:c r="A96" s="30" t="n">
        <x:v>96</x:v>
      </x:c>
      <x:c r="B96" s="30" t="n">
        <x:v>4</x:v>
      </x:c>
      <x:c r="C96" s="31" t="str">
        <x:f>REPT(" ",B96)&amp;TRIM(RIGHT(SUBSTITUTE(D96," ",REPT(" ",99)),99))</x:f>
        <x:v>    e3</x:v>
      </x:c>
      <x:c r="D96" s="18" t="str">
        <x:v>d4 d5 Nf3 c6 Bf4 Bg4 e3</x:v>
      </x:c>
      <x:c r="E96" s="18" t="str">
        <x:v>rhv</x:v>
      </x:c>
      <x:c r="F96" s="34" t="str">
        <x:f>IF(COUNTIF($E$2:E96,E96)&gt;1,MATCH(E96,$E:$E,0),"")</x:f>
      </x:c>
      <x:c r="G96" s="34" t="str">
        <x:f>IF(F96="","",COUNTIF($F$2:F96,"&gt;0"))</x:f>
      </x:c>
      <x:c r="H96" s="34" t="n">
        <x:v>95</x:v>
      </x:c>
      <x:c r="I96" s="35" t="b">
        <x:v>1</x:v>
      </x:c>
      <x:c r="J96" s="38" t="n">
        <x:v>0.61951</x:v>
      </x:c>
      <x:c r="K96" s="38" t="n">
        <x:v>0.00888</x:v>
      </x:c>
      <x:c r="L96" s="38" t="n">
        <x:v>0.00888</x:v>
      </x:c>
      <x:c r="M96" s="39"/>
      <x:c r="N96" s="39"/>
      <x:c r="O96" s="39"/>
      <x:c r="P96" s="39"/>
      <x:c r="Q96" s="39"/>
      <x:c r="R96" s="39"/>
      <x:c r="S96" s="39"/>
      <x:c r="T96" s="38" t="n">
        <x:f>L96+SUM(M96:S96)</x:f>
        <x:v>0.00888</x:v>
      </x:c>
      <x:c r="U96" s="39"/>
      <x:c r="V96" s="38" t="str">
        <x:f>IF(U96="","",T96-U96)</x:f>
      </x:c>
      <x:c r="W96" s="28"/>
    </x:row>
    <x:row r="97">
      <x:c r="A97" s="30" t="n">
        <x:v>97</x:v>
      </x:c>
      <x:c r="B97" s="30" t="n">
        <x:v>4</x:v>
      </x:c>
      <x:c r="C97" s="31" t="str">
        <x:f>REPT(" ",B97)&amp;TRIM(RIGHT(SUBSTITUTE(D97," ",REPT(" ",99)),99))</x:f>
        <x:v>    Nbd2</x:v>
      </x:c>
      <x:c r="D97" s="18" t="str">
        <x:v>d4 d5 Nf3 c6 Bf4 Bg4 Nbd2</x:v>
      </x:c>
      <x:c r="E97" s="18" t="str">
        <x:v>fom</x:v>
      </x:c>
      <x:c r="F97" s="34" t="str">
        <x:f>IF(COUNTIF($E$2:E97,E97)&gt;1,MATCH(E97,$E:$E,0),"")</x:f>
      </x:c>
      <x:c r="G97" s="34" t="str">
        <x:f>IF(F97="","",COUNTIF($F$2:F97,"&gt;0"))</x:f>
      </x:c>
      <x:c r="H97" s="34" t="n">
        <x:v>95</x:v>
      </x:c>
      <x:c r="I97" s="35" t="b">
        <x:v>1</x:v>
      </x:c>
      <x:c r="J97" s="38" t="n">
        <x:v>0.21516</x:v>
      </x:c>
      <x:c r="K97" s="38" t="n">
        <x:v>0.00308</x:v>
      </x:c>
      <x:c r="L97" s="38" t="n">
        <x:v>0.00308</x:v>
      </x:c>
      <x:c r="M97" s="39"/>
      <x:c r="N97" s="39"/>
      <x:c r="O97" s="39"/>
      <x:c r="P97" s="39"/>
      <x:c r="Q97" s="39"/>
      <x:c r="R97" s="39"/>
      <x:c r="S97" s="39"/>
      <x:c r="T97" s="38" t="n">
        <x:f>L97+SUM(M97:S97)</x:f>
        <x:v>0.00308</x:v>
      </x:c>
      <x:c r="U97" s="39"/>
      <x:c r="V97" s="38" t="str">
        <x:f>IF(U97="","",T97-U97)</x:f>
      </x:c>
      <x:c r="W97" s="28"/>
    </x:row>
    <x:row r="98">
      <x:c r="A98" s="30" t="n">
        <x:v>98</x:v>
      </x:c>
      <x:c r="B98" s="30" t="n">
        <x:v>4</x:v>
      </x:c>
      <x:c r="C98" s="31" t="str">
        <x:f>REPT(" ",B98)&amp;TRIM(RIGHT(SUBSTITUTE(D98," ",REPT(" ",99)),99))</x:f>
        <x:v>    Ne5</x:v>
      </x:c>
      <x:c r="D98" s="18" t="str">
        <x:v>d4 d5 Nf3 c6 Bf4 Bg4 Ne5</x:v>
      </x:c>
      <x:c r="E98" s="18" t="str">
        <x:v>iuw</x:v>
      </x:c>
      <x:c r="F98" s="34" t="str">
        <x:f>IF(COUNTIF($E$2:E98,E98)&gt;1,MATCH(E98,$E:$E,0),"")</x:f>
      </x:c>
      <x:c r="G98" s="34" t="str">
        <x:f>IF(F98="","",COUNTIF($F$2:F98,"&gt;0"))</x:f>
      </x:c>
      <x:c r="H98" s="34" t="n">
        <x:v>95</x:v>
      </x:c>
      <x:c r="I98" s="35" t="b">
        <x:v>1</x:v>
      </x:c>
      <x:c r="J98" s="38" t="n">
        <x:v>0.09233000000000001</x:v>
      </x:c>
      <x:c r="K98" s="38" t="n">
        <x:v>0.00132</x:v>
      </x:c>
      <x:c r="L98" s="38" t="n">
        <x:v>0.00132</x:v>
      </x:c>
      <x:c r="M98" s="39"/>
      <x:c r="N98" s="39"/>
      <x:c r="O98" s="39"/>
      <x:c r="P98" s="39"/>
      <x:c r="Q98" s="39"/>
      <x:c r="R98" s="39"/>
      <x:c r="S98" s="39"/>
      <x:c r="T98" s="38" t="n">
        <x:f>L98+SUM(M98:S98)</x:f>
        <x:v>0.00132</x:v>
      </x:c>
      <x:c r="U98" s="39"/>
      <x:c r="V98" s="38" t="str">
        <x:f>IF(U98="","",T98-U98)</x:f>
      </x:c>
      <x:c r="W98" s="28"/>
    </x:row>
    <x:row r="99">
      <x:c r="A99" s="30" t="n">
        <x:v>99</x:v>
      </x:c>
      <x:c r="B99" s="30" t="n">
        <x:v>4</x:v>
      </x:c>
      <x:c r="C99" s="31" t="str">
        <x:f>REPT(" ",B99)&amp;TRIM(RIGHT(SUBSTITUTE(D99," ",REPT(" ",99)),99))</x:f>
        <x:v>    h3</x:v>
      </x:c>
      <x:c r="D99" s="18" t="str">
        <x:v>d4 d5 Nf3 c6 Bf4 Bg4 h3</x:v>
      </x:c>
      <x:c r="E99" s="18" t="str">
        <x:v>kyy</x:v>
      </x:c>
      <x:c r="F99" s="34" t="str">
        <x:f>IF(COUNTIF($E$2:E99,E99)&gt;1,MATCH(E99,$E:$E,0),"")</x:f>
      </x:c>
      <x:c r="G99" s="34" t="str">
        <x:f>IF(F99="","",COUNTIF($F$2:F99,"&gt;0"))</x:f>
      </x:c>
      <x:c r="H99" s="34" t="n">
        <x:v>95</x:v>
      </x:c>
      <x:c r="I99" s="35" t="b">
        <x:v>1</x:v>
      </x:c>
      <x:c r="J99" s="38" t="n">
        <x:v>0.073</x:v>
      </x:c>
      <x:c r="K99" s="38" t="n">
        <x:v>0.00105</x:v>
      </x:c>
      <x:c r="L99" s="38" t="n">
        <x:v>0.00105</x:v>
      </x:c>
      <x:c r="M99" s="39"/>
      <x:c r="N99" s="39"/>
      <x:c r="O99" s="39"/>
      <x:c r="P99" s="39"/>
      <x:c r="Q99" s="39"/>
      <x:c r="R99" s="39"/>
      <x:c r="S99" s="39"/>
      <x:c r="T99" s="38" t="n">
        <x:f>L99+SUM(M99:S99)</x:f>
        <x:v>0.00105</x:v>
      </x:c>
      <x:c r="U99" s="39"/>
      <x:c r="V99" s="38" t="str">
        <x:f>IF(U99="","",T99-U99)</x:f>
      </x:c>
      <x:c r="W99" s="28"/>
    </x:row>
    <x:row r="100">
      <x:c r="A100" s="30" t="n">
        <x:v>100</x:v>
      </x:c>
      <x:c r="B100" s="30" t="n">
        <x:v>3</x:v>
      </x:c>
      <x:c r="C100" s="31" t="str">
        <x:f>REPT(" ",B100)&amp;TRIM(RIGHT(SUBSTITUTE(D100," ",REPT(" ",99)),99))</x:f>
        <x:v>   e3</x:v>
      </x:c>
      <x:c r="D100" s="18" t="str">
        <x:v>d4 d5 Nf3 c6 e3</x:v>
      </x:c>
      <x:c r="E100" s="18" t="str">
        <x:v>eqp</x:v>
      </x:c>
      <x:c r="F100" s="34" t="str">
        <x:f>IF(COUNTIF($E$2:E100,E100)&gt;1,MATCH(E100,$E:$E,0),"")</x:f>
      </x:c>
      <x:c r="G100" s="34" t="str">
        <x:f>IF(F100="","",COUNTIF($F$2:F100,"&gt;0"))</x:f>
      </x:c>
      <x:c r="H100" s="34" t="n">
        <x:v>94</x:v>
      </x:c>
      <x:c r="I100" s="35" t="b">
        <x:v>0</x:v>
      </x:c>
      <x:c r="J100" s="38" t="n">
        <x:v>0.28795000000000004</x:v>
      </x:c>
      <x:c r="K100" s="38" t="n">
        <x:v>0.01351</x:v>
      </x:c>
      <x:c r="L100" s="38" t="n">
        <x:v>0.01351</x:v>
      </x:c>
      <x:c r="M100" s="39"/>
      <x:c r="N100" s="39"/>
      <x:c r="O100" s="39"/>
      <x:c r="P100" s="39"/>
      <x:c r="Q100" s="39"/>
      <x:c r="R100" s="39"/>
      <x:c r="S100" s="39"/>
      <x:c r="T100" s="38" t="n">
        <x:f>L100+SUM(M100:S100)</x:f>
        <x:v>0.01351</x:v>
      </x:c>
      <x:c r="U100" s="39"/>
      <x:c r="V100" s="38" t="str">
        <x:f>IF(U100="","",T100-U100)</x:f>
      </x:c>
      <x:c r="W100" s="28"/>
    </x:row>
    <x:row r="101">
      <x:c r="A101" s="30" t="n">
        <x:v>101</x:v>
      </x:c>
      <x:c r="B101" s="30" t="n">
        <x:v>4</x:v>
      </x:c>
      <x:c r="C101" s="31" t="str">
        <x:f>REPT(" ",B101)&amp;TRIM(RIGHT(SUBSTITUTE(D101," ",REPT(" ",99)),99))</x:f>
        <x:v>    Be2</x:v>
      </x:c>
      <x:c r="D101" s="18" t="str">
        <x:v>d4 d5 Nf3 c6 e3 Bg4 Be2</x:v>
      </x:c>
      <x:c r="E101" s="18" t="str">
        <x:v>deu</x:v>
      </x:c>
      <x:c r="F101" s="34" t="str">
        <x:f>IF(COUNTIF($E$2:E101,E101)&gt;1,MATCH(E101,$E:$E,0),"")</x:f>
      </x:c>
      <x:c r="G101" s="34" t="str">
        <x:f>IF(F101="","",COUNTIF($F$2:F101,"&gt;0"))</x:f>
      </x:c>
      <x:c r="H101" s="34" t="n">
        <x:v>100</x:v>
      </x:c>
      <x:c r="I101" s="35" t="b">
        <x:v>1</x:v>
      </x:c>
      <x:c r="J101" s="38" t="n">
        <x:v>0.35656</x:v>
      </x:c>
      <x:c r="K101" s="38" t="n">
        <x:v>0.00482</x:v>
      </x:c>
      <x:c r="L101" s="38" t="n">
        <x:v>0.00482</x:v>
      </x:c>
      <x:c r="M101" s="39"/>
      <x:c r="N101" s="39"/>
      <x:c r="O101" s="39"/>
      <x:c r="P101" s="39"/>
      <x:c r="Q101" s="39"/>
      <x:c r="R101" s="39"/>
      <x:c r="S101" s="39"/>
      <x:c r="T101" s="38" t="n">
        <x:f>L101+SUM(M101:S101)</x:f>
        <x:v>0.00482</x:v>
      </x:c>
      <x:c r="U101" s="39"/>
      <x:c r="V101" s="38" t="str">
        <x:f>IF(U101="","",T101-U101)</x:f>
      </x:c>
      <x:c r="W101" s="28"/>
    </x:row>
    <x:row r="102">
      <x:c r="A102" s="30" t="n">
        <x:v>102</x:v>
      </x:c>
      <x:c r="B102" s="30" t="n">
        <x:v>4</x:v>
      </x:c>
      <x:c r="C102" s="31" t="str">
        <x:f>REPT(" ",B102)&amp;TRIM(RIGHT(SUBSTITUTE(D102," ",REPT(" ",99)),99))</x:f>
        <x:v>    c4</x:v>
      </x:c>
      <x:c r="D102" s="18" t="str">
        <x:v>d4 d5 Nf3 c6 e3 Bg4 c4</x:v>
      </x:c>
      <x:c r="E102" s="18" t="str">
        <x:v>ntc</x:v>
      </x:c>
      <x:c r="F102" s="34" t="str">
        <x:f>IF(COUNTIF($E$2:E102,E102)&gt;1,MATCH(E102,$E:$E,0),"")</x:f>
      </x:c>
      <x:c r="G102" s="34" t="str">
        <x:f>IF(F102="","",COUNTIF($F$2:F102,"&gt;0"))</x:f>
      </x:c>
      <x:c r="H102" s="34" t="n">
        <x:v>100</x:v>
      </x:c>
      <x:c r="I102" s="35" t="b">
        <x:v>1</x:v>
      </x:c>
      <x:c r="J102" s="38" t="n">
        <x:v>0.18338000000000002</x:v>
      </x:c>
      <x:c r="K102" s="38" t="n">
        <x:v>0.00248</x:v>
      </x:c>
      <x:c r="L102" s="38" t="n">
        <x:v>0.00248</x:v>
      </x:c>
      <x:c r="M102" s="39"/>
      <x:c r="N102" s="39"/>
      <x:c r="O102" s="39"/>
      <x:c r="P102" s="39"/>
      <x:c r="Q102" s="39"/>
      <x:c r="R102" s="39"/>
      <x:c r="S102" s="39"/>
      <x:c r="T102" s="38" t="n">
        <x:f>L102+SUM(M102:S102)</x:f>
        <x:v>0.00248</x:v>
      </x:c>
      <x:c r="U102" s="39"/>
      <x:c r="V102" s="38" t="str">
        <x:f>IF(U102="","",T102-U102)</x:f>
      </x:c>
      <x:c r="W102" s="28"/>
    </x:row>
    <x:row r="103">
      <x:c r="A103" s="30" t="n">
        <x:v>103</x:v>
      </x:c>
      <x:c r="B103" s="30" t="n">
        <x:v>4</x:v>
      </x:c>
      <x:c r="C103" s="31" t="str">
        <x:f>REPT(" ",B103)&amp;TRIM(RIGHT(SUBSTITUTE(D103," ",REPT(" ",99)),99))</x:f>
        <x:v>    Nbd2</x:v>
      </x:c>
      <x:c r="D103" s="18" t="str">
        <x:v>d4 d5 Nf3 c6 e3 Bg4 Nbd2</x:v>
      </x:c>
      <x:c r="E103" s="18" t="str">
        <x:v>fzv</x:v>
      </x:c>
      <x:c r="F103" s="34" t="str">
        <x:f>IF(COUNTIF($E$2:E103,E103)&gt;1,MATCH(E103,$E:$E,0),"")</x:f>
      </x:c>
      <x:c r="G103" s="34" t="str">
        <x:f>IF(F103="","",COUNTIF($F$2:F103,"&gt;0"))</x:f>
      </x:c>
      <x:c r="H103" s="34" t="n">
        <x:v>100</x:v>
      </x:c>
      <x:c r="I103" s="35" t="b">
        <x:v>1</x:v>
      </x:c>
      <x:c r="J103" s="38" t="n">
        <x:v>0.17515999999999998</x:v>
      </x:c>
      <x:c r="K103" s="38" t="n">
        <x:v>0.0023699999999999997</x:v>
      </x:c>
      <x:c r="L103" s="38" t="n">
        <x:v>0.0023699999999999997</x:v>
      </x:c>
      <x:c r="M103" s="39"/>
      <x:c r="N103" s="39"/>
      <x:c r="O103" s="39"/>
      <x:c r="P103" s="39"/>
      <x:c r="Q103" s="39"/>
      <x:c r="R103" s="39"/>
      <x:c r="S103" s="39"/>
      <x:c r="T103" s="38" t="n">
        <x:f>L103+SUM(M103:S103)</x:f>
        <x:v>0.0023699999999999997</x:v>
      </x:c>
      <x:c r="U103" s="39"/>
      <x:c r="V103" s="38" t="str">
        <x:f>IF(U103="","",T103-U103)</x:f>
      </x:c>
      <x:c r="W103" s="28"/>
    </x:row>
    <x:row r="104">
      <x:c r="A104" s="30" t="n">
        <x:v>104</x:v>
      </x:c>
      <x:c r="B104" s="30" t="n">
        <x:v>4</x:v>
      </x:c>
      <x:c r="C104" s="31" t="str">
        <x:f>REPT(" ",B104)&amp;TRIM(RIGHT(SUBSTITUTE(D104," ",REPT(" ",99)),99))</x:f>
        <x:v>    Bd3</x:v>
      </x:c>
      <x:c r="D104" s="18" t="str">
        <x:v>d4 d5 Nf3 c6 e3 Bg4 Bd3</x:v>
      </x:c>
      <x:c r="E104" s="18" t="str">
        <x:v>cyb</x:v>
      </x:c>
      <x:c r="F104" s="34" t="str">
        <x:f>IF(COUNTIF($E$2:E104,E104)&gt;1,MATCH(E104,$E:$E,0),"")</x:f>
      </x:c>
      <x:c r="G104" s="34" t="str">
        <x:f>IF(F104="","",COUNTIF($F$2:F104,"&gt;0"))</x:f>
      </x:c>
      <x:c r="H104" s="34" t="n">
        <x:v>100</x:v>
      </x:c>
      <x:c r="I104" s="35" t="b">
        <x:v>1</x:v>
      </x:c>
      <x:c r="J104" s="38" t="n">
        <x:v>0.15103999999999998</x:v>
      </x:c>
      <x:c r="K104" s="38" t="n">
        <x:v>0.0020399999999999997</x:v>
      </x:c>
      <x:c r="L104" s="38" t="n">
        <x:v>0.0020399999999999997</x:v>
      </x:c>
      <x:c r="M104" s="39"/>
      <x:c r="N104" s="39"/>
      <x:c r="O104" s="39"/>
      <x:c r="P104" s="39"/>
      <x:c r="Q104" s="39"/>
      <x:c r="R104" s="39"/>
      <x:c r="S104" s="39"/>
      <x:c r="T104" s="38" t="n">
        <x:f>L104+SUM(M104:S104)</x:f>
        <x:v>0.0020399999999999997</x:v>
      </x:c>
      <x:c r="U104" s="39"/>
      <x:c r="V104" s="38" t="str">
        <x:f>IF(U104="","",T104-U104)</x:f>
      </x:c>
      <x:c r="W104" s="28"/>
    </x:row>
    <x:row r="105">
      <x:c r="A105" s="30" t="n">
        <x:v>105</x:v>
      </x:c>
      <x:c r="B105" s="30" t="n">
        <x:v>4</x:v>
      </x:c>
      <x:c r="C105" s="31" t="str">
        <x:f>REPT(" ",B105)&amp;TRIM(RIGHT(SUBSTITUTE(D105," ",REPT(" ",99)),99))</x:f>
        <x:v>    h3</x:v>
      </x:c>
      <x:c r="D105" s="18" t="str">
        <x:v>d4 d5 Nf3 c6 e3 Bg4 h3</x:v>
      </x:c>
      <x:c r="E105" s="18" t="str">
        <x:v>mmt</x:v>
      </x:c>
      <x:c r="F105" s="34" t="str">
        <x:f>IF(COUNTIF($E$2:E105,E105)&gt;1,MATCH(E105,$E:$E,0),"")</x:f>
      </x:c>
      <x:c r="G105" s="34" t="str">
        <x:f>IF(F105="","",COUNTIF($F$2:F105,"&gt;0"))</x:f>
      </x:c>
      <x:c r="H105" s="34" t="n">
        <x:v>100</x:v>
      </x:c>
      <x:c r="I105" s="35" t="b">
        <x:v>1</x:v>
      </x:c>
      <x:c r="J105" s="38" t="n">
        <x:v>0.13385999999999998</x:v>
      </x:c>
      <x:c r="K105" s="38" t="n">
        <x:v>0.00181</x:v>
      </x:c>
      <x:c r="L105" s="38" t="n">
        <x:v>0.00181</x:v>
      </x:c>
      <x:c r="M105" s="39"/>
      <x:c r="N105" s="39"/>
      <x:c r="O105" s="39"/>
      <x:c r="P105" s="39"/>
      <x:c r="Q105" s="39"/>
      <x:c r="R105" s="39"/>
      <x:c r="S105" s="39"/>
      <x:c r="T105" s="38" t="n">
        <x:f>L105+SUM(M105:S105)</x:f>
        <x:v>0.00181</x:v>
      </x:c>
      <x:c r="U105" s="39"/>
      <x:c r="V105" s="38" t="str">
        <x:f>IF(U105="","",T105-U105)</x:f>
      </x:c>
      <x:c r="W105" s="28"/>
    </x:row>
    <x:row r="106">
      <x:c r="A106" s="30" t="n">
        <x:v>106</x:v>
      </x:c>
      <x:c r="B106" s="30" t="n">
        <x:v>3</x:v>
      </x:c>
      <x:c r="C106" s="31" t="str">
        <x:f>REPT(" ",B106)&amp;TRIM(RIGHT(SUBSTITUTE(D106," ",REPT(" ",99)),99))</x:f>
        <x:v>   c4</x:v>
      </x:c>
      <x:c r="D106" s="18" t="str">
        <x:v>d4 d5 Nf3 c6 c4</x:v>
      </x:c>
      <x:c r="E106" s="18" t="str">
        <x:v>gup</x:v>
      </x:c>
      <x:c r="F106" s="34" t="str">
        <x:f>IF(COUNTIF($E$2:E106,E106)&gt;1,MATCH(E106,$E:$E,0),"")</x:f>
      </x:c>
      <x:c r="G106" s="34" t="str">
        <x:f>IF(F106="","",COUNTIF($F$2:F106,"&gt;0"))</x:f>
      </x:c>
      <x:c r="H106" s="34" t="n">
        <x:v>94</x:v>
      </x:c>
      <x:c r="I106" s="35" t="b">
        <x:v>0</x:v>
      </x:c>
      <x:c r="J106" s="38" t="n">
        <x:v>0.20498000000000002</x:v>
      </x:c>
      <x:c r="K106" s="38" t="n">
        <x:v>0.00962</x:v>
      </x:c>
      <x:c r="L106" s="38" t="n">
        <x:v>0.00962</x:v>
      </x:c>
      <x:c r="M106" s="39"/>
      <x:c r="N106" s="39"/>
      <x:c r="O106" s="39"/>
      <x:c r="P106" s="39"/>
      <x:c r="Q106" s="39"/>
      <x:c r="R106" s="39"/>
      <x:c r="S106" s="39"/>
      <x:c r="T106" s="38" t="n">
        <x:f>L106+SUM(M106:S106)</x:f>
        <x:v>0.00962</x:v>
      </x:c>
      <x:c r="U106" s="39"/>
      <x:c r="V106" s="38" t="str">
        <x:f>IF(U106="","",T106-U106)</x:f>
      </x:c>
      <x:c r="W106" s="28"/>
    </x:row>
    <x:row r="107">
      <x:c r="A107" s="30" t="n">
        <x:v>107</x:v>
      </x:c>
      <x:c r="B107" s="30" t="n">
        <x:v>4</x:v>
      </x:c>
      <x:c r="C107" s="31" t="str">
        <x:f>REPT(" ",B107)&amp;TRIM(RIGHT(SUBSTITUTE(D107," ",REPT(" ",99)),99))</x:f>
        <x:v>    Nc3</x:v>
      </x:c>
      <x:c r="D107" s="18" t="str">
        <x:v>d4 d5 Nf3 c6 c4 a6 Nc3</x:v>
      </x:c>
      <x:c r="E107" s="18" t="str">
        <x:v>eie</x:v>
      </x:c>
      <x:c r="F107" s="34" t="str">
        <x:f>IF(COUNTIF($E$2:E107,E107)&gt;1,MATCH(E107,$E:$E,0),"")</x:f>
      </x:c>
      <x:c r="G107" s="34" t="str">
        <x:f>IF(F107="","",COUNTIF($F$2:F107,"&gt;0"))</x:f>
      </x:c>
      <x:c r="H107" s="34" t="n">
        <x:v>106</x:v>
      </x:c>
      <x:c r="I107" s="35" t="b">
        <x:v>1</x:v>
      </x:c>
      <x:c r="J107" s="38" t="n">
        <x:v>0.39167</x:v>
      </x:c>
      <x:c r="K107" s="38" t="n">
        <x:v>0.00377</x:v>
      </x:c>
      <x:c r="L107" s="38" t="n">
        <x:v>0.00377</x:v>
      </x:c>
      <x:c r="M107" s="39"/>
      <x:c r="N107" s="39"/>
      <x:c r="O107" s="39"/>
      <x:c r="P107" s="39"/>
      <x:c r="Q107" s="39"/>
      <x:c r="R107" s="39"/>
      <x:c r="S107" s="39"/>
      <x:c r="T107" s="38" t="n">
        <x:f>L107+SUM(M107:S107)</x:f>
        <x:v>0.00377</x:v>
      </x:c>
      <x:c r="U107" s="39"/>
      <x:c r="V107" s="38" t="str">
        <x:f>IF(U107="","",T107-U107)</x:f>
      </x:c>
      <x:c r="W107" s="28"/>
    </x:row>
    <x:row r="108">
      <x:c r="A108" s="30" t="n">
        <x:v>108</x:v>
      </x:c>
      <x:c r="B108" s="30" t="n">
        <x:v>4</x:v>
      </x:c>
      <x:c r="C108" s="31" t="str">
        <x:f>REPT(" ",B108)&amp;TRIM(RIGHT(SUBSTITUTE(D108," ",REPT(" ",99)),99))</x:f>
        <x:v>    e3</x:v>
      </x:c>
      <x:c r="D108" s="18" t="str">
        <x:v>d4 d5 Nf3 c6 c4 a6 e3</x:v>
      </x:c>
      <x:c r="E108" s="18" t="str">
        <x:v>sns</x:v>
      </x:c>
      <x:c r="F108" s="34" t="str">
        <x:f>IF(COUNTIF($E$2:E108,E108)&gt;1,MATCH(E108,$E:$E,0),"")</x:f>
      </x:c>
      <x:c r="G108" s="34" t="str">
        <x:f>IF(F108="","",COUNTIF($F$2:F108,"&gt;0"))</x:f>
      </x:c>
      <x:c r="H108" s="34" t="n">
        <x:v>106</x:v>
      </x:c>
      <x:c r="I108" s="35" t="b">
        <x:v>1</x:v>
      </x:c>
      <x:c r="J108" s="38" t="n">
        <x:v>0.18265</x:v>
      </x:c>
      <x:c r="K108" s="38" t="n">
        <x:v>0.0017599999999999998</x:v>
      </x:c>
      <x:c r="L108" s="38" t="n">
        <x:v>0.0017599999999999998</x:v>
      </x:c>
      <x:c r="M108" s="39"/>
      <x:c r="N108" s="39"/>
      <x:c r="O108" s="39"/>
      <x:c r="P108" s="39"/>
      <x:c r="Q108" s="39"/>
      <x:c r="R108" s="39"/>
      <x:c r="S108" s="39"/>
      <x:c r="T108" s="38" t="n">
        <x:f>L108+SUM(M108:S108)</x:f>
        <x:v>0.0017599999999999998</x:v>
      </x:c>
      <x:c r="U108" s="39"/>
      <x:c r="V108" s="38" t="str">
        <x:f>IF(U108="","",T108-U108)</x:f>
      </x:c>
      <x:c r="W108" s="28"/>
    </x:row>
    <x:row r="109">
      <x:c r="A109" s="30" t="n">
        <x:v>109</x:v>
      </x:c>
      <x:c r="B109" s="30" t="n">
        <x:v>4</x:v>
      </x:c>
      <x:c r="C109" s="31" t="str">
        <x:f>REPT(" ",B109)&amp;TRIM(RIGHT(SUBSTITUTE(D109," ",REPT(" ",99)),99))</x:f>
        <x:v>    cxd5</x:v>
      </x:c>
      <x:c r="D109" s="18" t="str">
        <x:v>d4 d5 Nf3 c6 c4 a6 cxd5</x:v>
      </x:c>
      <x:c r="E109" s="18" t="str">
        <x:v>rix</x:v>
      </x:c>
      <x:c r="F109" s="34" t="str">
        <x:f>IF(COUNTIF($E$2:E109,E109)&gt;1,MATCH(E109,$E:$E,0),"")</x:f>
      </x:c>
      <x:c r="G109" s="34" t="str">
        <x:f>IF(F109="","",COUNTIF($F$2:F109,"&gt;0"))</x:f>
      </x:c>
      <x:c r="H109" s="34" t="n">
        <x:v>106</x:v>
      </x:c>
      <x:c r="I109" s="35" t="b">
        <x:v>1</x:v>
      </x:c>
      <x:c r="J109" s="38" t="n">
        <x:v>0.16598</x:v>
      </x:c>
      <x:c r="K109" s="38" t="n">
        <x:v>0.0016</x:v>
      </x:c>
      <x:c r="L109" s="38" t="n">
        <x:v>0.0016</x:v>
      </x:c>
      <x:c r="M109" s="39"/>
      <x:c r="N109" s="39"/>
      <x:c r="O109" s="39"/>
      <x:c r="P109" s="39"/>
      <x:c r="Q109" s="39"/>
      <x:c r="R109" s="39"/>
      <x:c r="S109" s="39"/>
      <x:c r="T109" s="38" t="n">
        <x:f>L109+SUM(M109:S109)</x:f>
        <x:v>0.0016</x:v>
      </x:c>
      <x:c r="U109" s="39"/>
      <x:c r="V109" s="38" t="str">
        <x:f>IF(U109="","",T109-U109)</x:f>
      </x:c>
      <x:c r="W109" s="28"/>
    </x:row>
    <x:row r="110">
      <x:c r="A110" s="30" t="n">
        <x:v>110</x:v>
      </x:c>
      <x:c r="B110" s="30" t="n">
        <x:v>4</x:v>
      </x:c>
      <x:c r="C110" s="31" t="str">
        <x:f>REPT(" ",B110)&amp;TRIM(RIGHT(SUBSTITUTE(D110," ",REPT(" ",99)),99))</x:f>
        <x:v>    g3</x:v>
      </x:c>
      <x:c r="D110" s="18" t="str">
        <x:v>d4 d5 Nf3 c6 c4 a6 g3</x:v>
      </x:c>
      <x:c r="E110" s="18" t="str">
        <x:v>mlh</x:v>
      </x:c>
      <x:c r="F110" s="34" t="str">
        <x:f>IF(COUNTIF($E$2:E110,E110)&gt;1,MATCH(E110,$E:$E,0),"")</x:f>
      </x:c>
      <x:c r="G110" s="34" t="str">
        <x:f>IF(F110="","",COUNTIF($F$2:F110,"&gt;0"))</x:f>
      </x:c>
      <x:c r="H110" s="34" t="n">
        <x:v>106</x:v>
      </x:c>
      <x:c r="I110" s="35" t="b">
        <x:v>1</x:v>
      </x:c>
      <x:c r="J110" s="38" t="n">
        <x:v>0.10884</x:v>
      </x:c>
      <x:c r="K110" s="38" t="n">
        <x:v>0.00105</x:v>
      </x:c>
      <x:c r="L110" s="38" t="n">
        <x:v>0.00105</x:v>
      </x:c>
      <x:c r="M110" s="39"/>
      <x:c r="N110" s="39"/>
      <x:c r="O110" s="39"/>
      <x:c r="P110" s="39"/>
      <x:c r="Q110" s="39"/>
      <x:c r="R110" s="39"/>
      <x:c r="S110" s="39"/>
      <x:c r="T110" s="38" t="n">
        <x:f>L110+SUM(M110:S110)</x:f>
        <x:v>0.00105</x:v>
      </x:c>
      <x:c r="U110" s="39"/>
      <x:c r="V110" s="38" t="str">
        <x:f>IF(U110="","",T110-U110)</x:f>
      </x:c>
      <x:c r="W110" s="28"/>
    </x:row>
    <x:row r="111">
      <x:c r="A111" s="30" t="n">
        <x:v>111</x:v>
      </x:c>
      <x:c r="B111" s="30" t="n">
        <x:v>4</x:v>
      </x:c>
      <x:c r="C111" s="31" t="str">
        <x:f>REPT(" ",B111)&amp;TRIM(RIGHT(SUBSTITUTE(D111," ",REPT(" ",99)),99))</x:f>
        <x:v>    Bf4</x:v>
      </x:c>
      <x:c r="D111" s="18" t="str">
        <x:v>d4 d5 Nf3 c6 c4 a6 Bf4</x:v>
      </x:c>
      <x:c r="E111" s="18" t="str">
        <x:v>muo</x:v>
      </x:c>
      <x:c r="F111" s="34" t="str">
        <x:f>IF(COUNTIF($E$2:E111,E111)&gt;1,MATCH(E111,$E:$E,0),"")</x:f>
      </x:c>
      <x:c r="G111" s="34" t="str">
        <x:f>IF(F111="","",COUNTIF($F$2:F111,"&gt;0"))</x:f>
      </x:c>
      <x:c r="H111" s="34" t="n">
        <x:v>106</x:v>
      </x:c>
      <x:c r="I111" s="35" t="b">
        <x:v>1</x:v>
      </x:c>
      <x:c r="J111" s="38" t="n">
        <x:v>0.07763</x:v>
      </x:c>
      <x:c r="K111" s="38" t="n">
        <x:v>0.00075</x:v>
      </x:c>
      <x:c r="L111" s="38" t="n">
        <x:v>0.00075</x:v>
      </x:c>
      <x:c r="M111" s="39"/>
      <x:c r="N111" s="39"/>
      <x:c r="O111" s="39"/>
      <x:c r="P111" s="39"/>
      <x:c r="Q111" s="39"/>
      <x:c r="R111" s="39"/>
      <x:c r="S111" s="39"/>
      <x:c r="T111" s="38" t="n">
        <x:f>L111+SUM(M111:S111)</x:f>
        <x:v>0.00075</x:v>
      </x:c>
      <x:c r="U111" s="39"/>
      <x:c r="V111" s="38" t="str">
        <x:f>IF(U111="","",T111-U111)</x:f>
      </x:c>
      <x:c r="W111" s="28"/>
    </x:row>
    <x:row r="112">
      <x:c r="A112" s="30" t="n">
        <x:v>112</x:v>
      </x:c>
      <x:c r="B112" s="30" t="n">
        <x:v>4</x:v>
      </x:c>
      <x:c r="C112" s="31" t="str">
        <x:f>REPT(" ",B112)&amp;TRIM(RIGHT(SUBSTITUTE(D112," ",REPT(" ",99)),99))</x:f>
        <x:v>    a4</x:v>
      </x:c>
      <x:c r="D112" s="18" t="str">
        <x:v>d4 d5 Nf3 c6 c4 a6 a4</x:v>
      </x:c>
      <x:c r="E112" s="18" t="str">
        <x:v>hxr</x:v>
      </x:c>
      <x:c r="F112" s="34" t="str">
        <x:f>IF(COUNTIF($E$2:E112,E112)&gt;1,MATCH(E112,$E:$E,0),"")</x:f>
      </x:c>
      <x:c r="G112" s="34" t="str">
        <x:f>IF(F112="","",COUNTIF($F$2:F112,"&gt;0"))</x:f>
      </x:c>
      <x:c r="H112" s="34" t="n">
        <x:v>106</x:v>
      </x:c>
      <x:c r="I112" s="35" t="b">
        <x:v>1</x:v>
      </x:c>
      <x:c r="J112" s="38" t="n">
        <x:v>0.07323</x:v>
      </x:c>
      <x:c r="K112" s="38" t="n">
        <x:v>0.0007000000000000001</x:v>
      </x:c>
      <x:c r="L112" s="38" t="n">
        <x:v>0.0007000000000000001</x:v>
      </x:c>
      <x:c r="M112" s="39"/>
      <x:c r="N112" s="39"/>
      <x:c r="O112" s="39"/>
      <x:c r="P112" s="39"/>
      <x:c r="Q112" s="39"/>
      <x:c r="R112" s="39"/>
      <x:c r="S112" s="39"/>
      <x:c r="T112" s="38" t="n">
        <x:f>L112+SUM(M112:S112)</x:f>
        <x:v>0.0007000000000000001</x:v>
      </x:c>
      <x:c r="U112" s="39"/>
      <x:c r="V112" s="38" t="str">
        <x:f>IF(U112="","",T112-U112)</x:f>
      </x:c>
      <x:c r="W112" s="28"/>
    </x:row>
    <x:row r="113">
      <x:c r="A113" s="30" t="n">
        <x:v>113</x:v>
      </x:c>
      <x:c r="B113" s="30" t="n">
        <x:v>3</x:v>
      </x:c>
      <x:c r="C113" s="31" t="str">
        <x:f>REPT(" ",B113)&amp;TRIM(RIGHT(SUBSTITUTE(D113," ",REPT(" ",99)),99))</x:f>
        <x:v>   g3</x:v>
      </x:c>
      <x:c r="D113" s="18" t="str">
        <x:v>d4 d5 Nf3 c6 g3</x:v>
      </x:c>
      <x:c r="E113" s="18" t="str">
        <x:v>oqi</x:v>
      </x:c>
      <x:c r="F113" s="34" t="str">
        <x:f>IF(COUNTIF($E$2:E113,E113)&gt;1,MATCH(E113,$E:$E,0),"")</x:f>
      </x:c>
      <x:c r="G113" s="34" t="str">
        <x:f>IF(F113="","",COUNTIF($F$2:F113,"&gt;0"))</x:f>
      </x:c>
      <x:c r="H113" s="34" t="n">
        <x:v>94</x:v>
      </x:c>
      <x:c r="I113" s="35" t="b">
        <x:v>0</x:v>
      </x:c>
      <x:c r="J113" s="38" t="n">
        <x:v>0.12968</x:v>
      </x:c>
      <x:c r="K113" s="38" t="n">
        <x:v>0.0060799999999999995</x:v>
      </x:c>
      <x:c r="L113" s="38" t="n">
        <x:v>0.0060799999999999995</x:v>
      </x:c>
      <x:c r="M113" s="39"/>
      <x:c r="N113" s="39"/>
      <x:c r="O113" s="39"/>
      <x:c r="P113" s="39"/>
      <x:c r="Q113" s="39"/>
      <x:c r="R113" s="39"/>
      <x:c r="S113" s="39"/>
      <x:c r="T113" s="38" t="n">
        <x:f>L113+SUM(M113:S113)</x:f>
        <x:v>0.0060799999999999995</x:v>
      </x:c>
      <x:c r="U113" s="39"/>
      <x:c r="V113" s="38" t="str">
        <x:f>IF(U113="","",T113-U113)</x:f>
      </x:c>
      <x:c r="W113" s="28"/>
    </x:row>
    <x:row r="114">
      <x:c r="A114" s="30" t="n">
        <x:v>114</x:v>
      </x:c>
      <x:c r="B114" s="30" t="n">
        <x:v>4</x:v>
      </x:c>
      <x:c r="C114" s="31" t="str">
        <x:f>REPT(" ",B114)&amp;TRIM(RIGHT(SUBSTITUTE(D114," ",REPT(" ",99)),99))</x:f>
        <x:v>    Bg2</x:v>
      </x:c>
      <x:c r="D114" s="18" t="str">
        <x:v>d4 d5 Nf3 c6 g3 Bf5 Bg2</x:v>
      </x:c>
      <x:c r="E114" s="18" t="str">
        <x:v>rav</x:v>
      </x:c>
      <x:c r="F114" s="34" t="str">
        <x:f>IF(COUNTIF($E$2:E114,E114)&gt;1,MATCH(E114,$E:$E,0),"")</x:f>
      </x:c>
      <x:c r="G114" s="34" t="str">
        <x:f>IF(F114="","",COUNTIF($F$2:F114,"&gt;0"))</x:f>
      </x:c>
      <x:c r="H114" s="34" t="n">
        <x:v>113</x:v>
      </x:c>
      <x:c r="I114" s="35" t="b">
        <x:v>1</x:v>
      </x:c>
      <x:c r="J114" s="38" t="n">
        <x:v>1</x:v>
      </x:c>
      <x:c r="K114" s="38" t="n">
        <x:v>0.0060799999999999995</x:v>
      </x:c>
      <x:c r="L114" s="38" t="n">
        <x:v>0.0060799999999999995</x:v>
      </x:c>
      <x:c r="M114" s="39"/>
      <x:c r="N114" s="39"/>
      <x:c r="O114" s="39"/>
      <x:c r="P114" s="39"/>
      <x:c r="Q114" s="39"/>
      <x:c r="R114" s="39"/>
      <x:c r="S114" s="39"/>
      <x:c r="T114" s="38" t="n">
        <x:f>L114+SUM(M114:S114)</x:f>
        <x:v>0.0060799999999999995</x:v>
      </x:c>
      <x:c r="U114" s="39"/>
      <x:c r="V114" s="38" t="str">
        <x:f>IF(U114="","",T114-U114)</x:f>
      </x:c>
      <x:c r="W114" s="28"/>
    </x:row>
    <x:row r="115">
      <x:c r="A115" s="30" t="n">
        <x:v>115</x:v>
      </x:c>
      <x:c r="B115" s="30" t="n">
        <x:v>3</x:v>
      </x:c>
      <x:c r="C115" s="31" t="str">
        <x:f>REPT(" ",B115)&amp;TRIM(RIGHT(SUBSTITUTE(D115," ",REPT(" ",99)),99))</x:f>
        <x:v>   Nc3</x:v>
      </x:c>
      <x:c r="D115" s="18" t="str">
        <x:v>d4 d5 Nf3 c6 Nc3</x:v>
      </x:c>
      <x:c r="E115" s="18" t="str">
        <x:v>bhb</x:v>
      </x:c>
      <x:c r="F115" s="34" t="str">
        <x:f>IF(COUNTIF($E$2:E115,E115)&gt;1,MATCH(E115,$E:$E,0),"")</x:f>
      </x:c>
      <x:c r="G115" s="34" t="str">
        <x:f>IF(F115="","",COUNTIF($F$2:F115,"&gt;0"))</x:f>
      </x:c>
      <x:c r="H115" s="34" t="n">
        <x:v>94</x:v>
      </x:c>
      <x:c r="I115" s="35" t="b">
        <x:v>0</x:v>
      </x:c>
      <x:c r="J115" s="38" t="n">
        <x:v>0.07191</x:v>
      </x:c>
      <x:c r="K115" s="38" t="n">
        <x:v>0.00337</x:v>
      </x:c>
      <x:c r="L115" s="38" t="n">
        <x:v>0.00337</x:v>
      </x:c>
      <x:c r="M115" s="39"/>
      <x:c r="N115" s="39"/>
      <x:c r="O115" s="39"/>
      <x:c r="P115" s="39"/>
      <x:c r="Q115" s="39"/>
      <x:c r="R115" s="39"/>
      <x:c r="S115" s="39"/>
      <x:c r="T115" s="38" t="n">
        <x:f>L115+SUM(M115:S115)</x:f>
        <x:v>0.00337</x:v>
      </x:c>
      <x:c r="U115" s="39"/>
      <x:c r="V115" s="38" t="str">
        <x:f>IF(U115="","",T115-U115)</x:f>
      </x:c>
      <x:c r="W115" s="28"/>
    </x:row>
    <x:row r="116">
      <x:c r="A116" s="30" t="n">
        <x:v>116</x:v>
      </x:c>
      <x:c r="B116" s="30" t="n">
        <x:v>4</x:v>
      </x:c>
      <x:c r="C116" s="31" t="str">
        <x:f>REPT(" ",B116)&amp;TRIM(RIGHT(SUBSTITUTE(D116," ",REPT(" ",99)),99))</x:f>
        <x:v>    Bf4</x:v>
      </x:c>
      <x:c r="D116" s="18" t="str">
        <x:v>d4 d5 Nf3 c6 Nc3 Bf5 Bf4</x:v>
      </x:c>
      <x:c r="E116" s="18" t="str">
        <x:v>zkm</x:v>
      </x:c>
      <x:c r="F116" s="34" t="str">
        <x:f>IF(COUNTIF($E$2:E116,E116)&gt;1,MATCH(E116,$E:$E,0),"")</x:f>
      </x:c>
      <x:c r="G116" s="34" t="str">
        <x:f>IF(F116="","",COUNTIF($F$2:F116,"&gt;0"))</x:f>
      </x:c>
      <x:c r="H116" s="34" t="n">
        <x:v>115</x:v>
      </x:c>
      <x:c r="I116" s="35" t="b">
        <x:v>1</x:v>
      </x:c>
      <x:c r="J116" s="38" t="n">
        <x:v>0.57851</x:v>
      </x:c>
      <x:c r="K116" s="38" t="n">
        <x:v>0.0019500000000000001</x:v>
      </x:c>
      <x:c r="L116" s="38" t="n">
        <x:v>0.0019500000000000001</x:v>
      </x:c>
      <x:c r="M116" s="39"/>
      <x:c r="N116" s="39"/>
      <x:c r="O116" s="39"/>
      <x:c r="P116" s="39"/>
      <x:c r="Q116" s="39"/>
      <x:c r="R116" s="39"/>
      <x:c r="S116" s="39"/>
      <x:c r="T116" s="38" t="n">
        <x:f>L116+SUM(M116:S116)</x:f>
        <x:v>0.0019500000000000001</x:v>
      </x:c>
      <x:c r="U116" s="39"/>
      <x:c r="V116" s="38" t="str">
        <x:f>IF(U116="","",T116-U116)</x:f>
      </x:c>
      <x:c r="W116" s="28"/>
    </x:row>
    <x:row r="117">
      <x:c r="A117" s="30" t="n">
        <x:v>117</x:v>
      </x:c>
      <x:c r="B117" s="30" t="n">
        <x:v>4</x:v>
      </x:c>
      <x:c r="C117" s="31" t="str">
        <x:f>REPT(" ",B117)&amp;TRIM(RIGHT(SUBSTITUTE(D117," ",REPT(" ",99)),99))</x:f>
        <x:v>    e3</x:v>
      </x:c>
      <x:c r="D117" s="18" t="str">
        <x:v>d4 d5 Nf3 c6 Nc3 Bf5 e3</x:v>
      </x:c>
      <x:c r="E117" s="18" t="str">
        <x:v>icg</x:v>
      </x:c>
      <x:c r="F117" s="34" t="str">
        <x:f>IF(COUNTIF($E$2:E117,E117)&gt;1,MATCH(E117,$E:$E,0),"")</x:f>
      </x:c>
      <x:c r="G117" s="34" t="str">
        <x:f>IF(F117="","",COUNTIF($F$2:F117,"&gt;0"))</x:f>
      </x:c>
      <x:c r="H117" s="34" t="n">
        <x:v>115</x:v>
      </x:c>
      <x:c r="I117" s="35" t="b">
        <x:v>1</x:v>
      </x:c>
      <x:c r="J117" s="38" t="n">
        <x:v>0.29871</x:v>
      </x:c>
      <x:c r="K117" s="38" t="n">
        <x:v>0.00101</x:v>
      </x:c>
      <x:c r="L117" s="38" t="n">
        <x:v>0.00101</x:v>
      </x:c>
      <x:c r="M117" s="39"/>
      <x:c r="N117" s="39"/>
      <x:c r="O117" s="39"/>
      <x:c r="P117" s="39"/>
      <x:c r="Q117" s="39"/>
      <x:c r="R117" s="39"/>
      <x:c r="S117" s="39"/>
      <x:c r="T117" s="38" t="n">
        <x:f>L117+SUM(M117:S117)</x:f>
        <x:v>0.00101</x:v>
      </x:c>
      <x:c r="U117" s="39"/>
      <x:c r="V117" s="38" t="str">
        <x:f>IF(U117="","",T117-U117)</x:f>
      </x:c>
      <x:c r="W117" s="28"/>
    </x:row>
    <x:row r="118">
      <x:c r="A118" s="30" t="n">
        <x:v>118</x:v>
      </x:c>
      <x:c r="B118" s="30" t="n">
        <x:v>4</x:v>
      </x:c>
      <x:c r="C118" s="31" t="str">
        <x:f>REPT(" ",B118)&amp;TRIM(RIGHT(SUBSTITUTE(D118," ",REPT(" ",99)),99))</x:f>
        <x:v>    h3</x:v>
      </x:c>
      <x:c r="D118" s="18" t="str">
        <x:v>d4 d5 Nf3 c6 Nc3 Bf5 h3</x:v>
      </x:c>
      <x:c r="E118" s="18" t="str">
        <x:v>swk</x:v>
      </x:c>
      <x:c r="F118" s="34" t="str">
        <x:f>IF(COUNTIF($E$2:E118,E118)&gt;1,MATCH(E118,$E:$E,0),"")</x:f>
      </x:c>
      <x:c r="G118" s="34" t="str">
        <x:f>IF(F118="","",COUNTIF($F$2:F118,"&gt;0"))</x:f>
      </x:c>
      <x:c r="H118" s="34" t="n">
        <x:v>115</x:v>
      </x:c>
      <x:c r="I118" s="35" t="b">
        <x:v>1</x:v>
      </x:c>
      <x:c r="J118" s="38" t="n">
        <x:v>0.12278</x:v>
      </x:c>
      <x:c r="K118" s="38" t="n">
        <x:v>0.00041</x:v>
      </x:c>
      <x:c r="L118" s="38" t="n">
        <x:v>0.00041</x:v>
      </x:c>
      <x:c r="M118" s="39"/>
      <x:c r="N118" s="39"/>
      <x:c r="O118" s="39"/>
      <x:c r="P118" s="39"/>
      <x:c r="Q118" s="39"/>
      <x:c r="R118" s="39"/>
      <x:c r="S118" s="39"/>
      <x:c r="T118" s="38" t="n">
        <x:f>L118+SUM(M118:S118)</x:f>
        <x:v>0.00041</x:v>
      </x:c>
      <x:c r="U118" s="39"/>
      <x:c r="V118" s="38" t="str">
        <x:f>IF(U118="","",T118-U118)</x:f>
      </x:c>
      <x:c r="W118" s="28"/>
    </x:row>
    <x:row r="119">
      <x:c r="A119" s="30" t="n">
        <x:v>119</x:v>
      </x:c>
      <x:c r="B119" s="30" t="n">
        <x:v>2</x:v>
      </x:c>
      <x:c r="C119" s="31" t="str">
        <x:f>REPT(" ",B119)&amp;TRIM(RIGHT(SUBSTITUTE(D119," ",REPT(" ",99)),99))</x:f>
        <x:v>  e3</x:v>
      </x:c>
      <x:c r="D119" s="18" t="str">
        <x:v>d4 d5 e3</x:v>
      </x:c>
      <x:c r="E119" s="18" t="str">
        <x:v>xpc</x:v>
      </x:c>
      <x:c r="F119" s="34" t="str">
        <x:f>IF(COUNTIF($E$2:E119,E119)&gt;1,MATCH(E119,$E:$E,0),"")</x:f>
      </x:c>
      <x:c r="G119" s="34" t="str">
        <x:f>IF(F119="","",COUNTIF($F$2:F119,"&gt;0"))</x:f>
      </x:c>
      <x:c r="H119" s="34" t="n">
        <x:v>52</x:v>
      </x:c>
      <x:c r="I119" s="35" t="b">
        <x:v>0</x:v>
      </x:c>
      <x:c r="J119" s="38" t="n">
        <x:v>0.0891</x:v>
      </x:c>
      <x:c r="K119" s="38" t="n">
        <x:v>0.02469</x:v>
      </x:c>
      <x:c r="L119" s="38" t="n">
        <x:v>0.02469</x:v>
      </x:c>
      <x:c r="M119" s="39"/>
      <x:c r="N119" s="39"/>
      <x:c r="O119" s="39"/>
      <x:c r="P119" s="39"/>
      <x:c r="Q119" s="39"/>
      <x:c r="R119" s="39"/>
      <x:c r="S119" s="39"/>
      <x:c r="T119" s="38" t="n">
        <x:f>L119+SUM(M119:S119)</x:f>
        <x:v>0.02469</x:v>
      </x:c>
      <x:c r="U119" s="39"/>
      <x:c r="V119" s="38" t="str">
        <x:f>IF(U119="","",T119-U119)</x:f>
      </x:c>
      <x:c r="W119" s="28"/>
    </x:row>
    <x:row r="120">
      <x:c r="A120" s="30" t="n">
        <x:v>120</x:v>
      </x:c>
      <x:c r="B120" s="30" t="n">
        <x:v>3</x:v>
      </x:c>
      <x:c r="C120" s="31" t="str">
        <x:f>REPT(" ",B120)&amp;TRIM(RIGHT(SUBSTITUTE(D120," ",REPT(" ",99)),99))</x:f>
        <x:v>   Bd3</x:v>
      </x:c>
      <x:c r="D120" s="18" t="str">
        <x:v>d4 d5 e3 Bf5 Bd3</x:v>
      </x:c>
      <x:c r="E120" s="18" t="str">
        <x:v>yry</x:v>
      </x:c>
      <x:c r="F120" s="34" t="str">
        <x:f>IF(COUNTIF($E$2:E120,E120)&gt;1,MATCH(E120,$E:$E,0),"")</x:f>
      </x:c>
      <x:c r="G120" s="34" t="str">
        <x:f>IF(F120="","",COUNTIF($F$2:F120,"&gt;0"))</x:f>
      </x:c>
      <x:c r="H120" s="34" t="n">
        <x:v>119</x:v>
      </x:c>
      <x:c r="I120" s="35" t="b">
        <x:v>0</x:v>
      </x:c>
      <x:c r="J120" s="38" t="n">
        <x:v>0.36932000000000004</x:v>
      </x:c>
      <x:c r="K120" s="38" t="n">
        <x:v>0.00912</x:v>
      </x:c>
      <x:c r="L120" s="38" t="n">
        <x:v>0.00912</x:v>
      </x:c>
      <x:c r="M120" s="39"/>
      <x:c r="N120" s="39"/>
      <x:c r="O120" s="39"/>
      <x:c r="P120" s="39"/>
      <x:c r="Q120" s="39"/>
      <x:c r="R120" s="39"/>
      <x:c r="S120" s="39"/>
      <x:c r="T120" s="38" t="n">
        <x:f>L120+SUM(M120:S120)</x:f>
        <x:v>0.00912</x:v>
      </x:c>
      <x:c r="U120" s="39"/>
      <x:c r="V120" s="38" t="str">
        <x:f>IF(U120="","",T120-U120)</x:f>
      </x:c>
      <x:c r="W120" s="28"/>
    </x:row>
    <x:row r="121">
      <x:c r="A121" s="30" t="n">
        <x:v>121</x:v>
      </x:c>
      <x:c r="B121" s="30" t="n">
        <x:v>4</x:v>
      </x:c>
      <x:c r="C121" s="31" t="str">
        <x:f>REPT(" ",B121)&amp;TRIM(RIGHT(SUBSTITUTE(D121," ",REPT(" ",99)),99))</x:f>
        <x:v>    Bxf5</x:v>
      </x:c>
      <x:c r="D121" s="18" t="str">
        <x:v>d4 d5 e3 Bf5 Bd3 e6 Bxf5</x:v>
      </x:c>
      <x:c r="E121" s="18" t="str">
        <x:v>eev</x:v>
      </x:c>
      <x:c r="F121" s="34" t="str">
        <x:f>IF(COUNTIF($E$2:E121,E121)&gt;1,MATCH(E121,$E:$E,0),"")</x:f>
      </x:c>
      <x:c r="G121" s="34" t="str">
        <x:f>IF(F121="","",COUNTIF($F$2:F121,"&gt;0"))</x:f>
      </x:c>
      <x:c r="H121" s="34" t="n">
        <x:v>120</x:v>
      </x:c>
      <x:c r="I121" s="35" t="b">
        <x:v>1</x:v>
      </x:c>
      <x:c r="J121" s="38" t="n">
        <x:v>0.6631999999999999</x:v>
      </x:c>
      <x:c r="K121" s="38" t="n">
        <x:v>0.00605</x:v>
      </x:c>
      <x:c r="L121" s="38" t="n">
        <x:v>0.00605</x:v>
      </x:c>
      <x:c r="M121" s="39"/>
      <x:c r="N121" s="39"/>
      <x:c r="O121" s="39"/>
      <x:c r="P121" s="39"/>
      <x:c r="Q121" s="39"/>
      <x:c r="R121" s="39"/>
      <x:c r="S121" s="39"/>
      <x:c r="T121" s="38" t="n">
        <x:f>L121+SUM(M121:S121)</x:f>
        <x:v>0.00605</x:v>
      </x:c>
      <x:c r="U121" s="39"/>
      <x:c r="V121" s="38" t="str">
        <x:f>IF(U121="","",T121-U121)</x:f>
      </x:c>
      <x:c r="W121" s="28"/>
    </x:row>
    <x:row r="122">
      <x:c r="A122" s="30" t="n">
        <x:v>122</x:v>
      </x:c>
      <x:c r="B122" s="30" t="n">
        <x:v>4</x:v>
      </x:c>
      <x:c r="C122" s="31" t="str">
        <x:f>REPT(" ",B122)&amp;TRIM(RIGHT(SUBSTITUTE(D122," ",REPT(" ",99)),99))</x:f>
        <x:v>    f4</x:v>
      </x:c>
      <x:c r="D122" s="18" t="str">
        <x:v>d4 d5 e3 Bf5 Bd3 e6 f4</x:v>
      </x:c>
      <x:c r="E122" s="18" t="str">
        <x:v>iqt</x:v>
      </x:c>
      <x:c r="F122" s="34" t="str">
        <x:f>IF(COUNTIF($E$2:E122,E122)&gt;1,MATCH(E122,$E:$E,0),"")</x:f>
      </x:c>
      <x:c r="G122" s="34" t="str">
        <x:f>IF(F122="","",COUNTIF($F$2:F122,"&gt;0"))</x:f>
      </x:c>
      <x:c r="H122" s="34" t="n">
        <x:v>120</x:v>
      </x:c>
      <x:c r="I122" s="35" t="b">
        <x:v>1</x:v>
      </x:c>
      <x:c r="J122" s="38" t="n">
        <x:v>0.20977</x:v>
      </x:c>
      <x:c r="K122" s="38" t="n">
        <x:v>0.00191</x:v>
      </x:c>
      <x:c r="L122" s="38" t="n">
        <x:v>0.00191</x:v>
      </x:c>
      <x:c r="M122" s="39"/>
      <x:c r="N122" s="39"/>
      <x:c r="O122" s="39"/>
      <x:c r="P122" s="39"/>
      <x:c r="Q122" s="39"/>
      <x:c r="R122" s="39"/>
      <x:c r="S122" s="39"/>
      <x:c r="T122" s="38" t="n">
        <x:f>L122+SUM(M122:S122)</x:f>
        <x:v>0.00191</x:v>
      </x:c>
      <x:c r="U122" s="39"/>
      <x:c r="V122" s="38" t="str">
        <x:f>IF(U122="","",T122-U122)</x:f>
      </x:c>
      <x:c r="W122" s="28"/>
    </x:row>
    <x:row r="123">
      <x:c r="A123" s="30" t="n">
        <x:v>123</x:v>
      </x:c>
      <x:c r="B123" s="30" t="n">
        <x:v>4</x:v>
      </x:c>
      <x:c r="C123" s="31" t="str">
        <x:f>REPT(" ",B123)&amp;TRIM(RIGHT(SUBSTITUTE(D123," ",REPT(" ",99)),99))</x:f>
        <x:v>    Nf3</x:v>
      </x:c>
      <x:c r="D123" s="18" t="str">
        <x:v>d4 d5 e3 Bf5 Bd3 e6 Nf3</x:v>
      </x:c>
      <x:c r="E123" s="18" t="str">
        <x:v>prf</x:v>
      </x:c>
      <x:c r="F123" s="34" t="str">
        <x:f>IF(COUNTIF($E$2:E123,E123)&gt;1,MATCH(E123,$E:$E,0),"")</x:f>
      </x:c>
      <x:c r="G123" s="34" t="str">
        <x:f>IF(F123="","",COUNTIF($F$2:F123,"&gt;0"))</x:f>
      </x:c>
      <x:c r="H123" s="34" t="n">
        <x:v>120</x:v>
      </x:c>
      <x:c r="I123" s="35" t="b">
        <x:v>1</x:v>
      </x:c>
      <x:c r="J123" s="38" t="n">
        <x:v>0.12703</x:v>
      </x:c>
      <x:c r="K123" s="38" t="n">
        <x:v>0.00116</x:v>
      </x:c>
      <x:c r="L123" s="38" t="n">
        <x:v>0.00116</x:v>
      </x:c>
      <x:c r="M123" s="39"/>
      <x:c r="N123" s="39"/>
      <x:c r="O123" s="39"/>
      <x:c r="P123" s="39"/>
      <x:c r="Q123" s="39"/>
      <x:c r="R123" s="39"/>
      <x:c r="S123" s="39"/>
      <x:c r="T123" s="38" t="n">
        <x:f>L123+SUM(M123:S123)</x:f>
        <x:v>0.00116</x:v>
      </x:c>
      <x:c r="U123" s="39"/>
      <x:c r="V123" s="38" t="str">
        <x:f>IF(U123="","",T123-U123)</x:f>
      </x:c>
      <x:c r="W123" s="28"/>
    </x:row>
    <x:row r="124">
      <x:c r="A124" s="30" t="n">
        <x:v>124</x:v>
      </x:c>
      <x:c r="B124" s="30" t="n">
        <x:v>3</x:v>
      </x:c>
      <x:c r="C124" s="31" t="str">
        <x:f>REPT(" ",B124)&amp;TRIM(RIGHT(SUBSTITUTE(D124," ",REPT(" ",99)),99))</x:f>
        <x:v>   c4</x:v>
      </x:c>
      <x:c r="D124" s="18" t="str">
        <x:v>d4 d5 e3 Bf5 c4</x:v>
      </x:c>
      <x:c r="E124" s="18" t="str">
        <x:v>loq</x:v>
      </x:c>
      <x:c r="F124" s="34" t="str">
        <x:f>IF(COUNTIF($E$2:E124,E124)&gt;1,MATCH(E124,$E:$E,0),"")</x:f>
      </x:c>
      <x:c r="G124" s="34" t="str">
        <x:f>IF(F124="","",COUNTIF($F$2:F124,"&gt;0"))</x:f>
      </x:c>
      <x:c r="H124" s="34" t="n">
        <x:v>119</x:v>
      </x:c>
      <x:c r="I124" s="35" t="b">
        <x:v>0</x:v>
      </x:c>
      <x:c r="J124" s="38" t="n">
        <x:v>0.29204</x:v>
      </x:c>
      <x:c r="K124" s="38" t="n">
        <x:v>0.007209999999999999</x:v>
      </x:c>
      <x:c r="L124" s="38" t="n">
        <x:v>0.007209999999999999</x:v>
      </x:c>
      <x:c r="M124" s="39"/>
      <x:c r="N124" s="39"/>
      <x:c r="O124" s="39"/>
      <x:c r="P124" s="39"/>
      <x:c r="Q124" s="39"/>
      <x:c r="R124" s="39"/>
      <x:c r="S124" s="39"/>
      <x:c r="T124" s="38" t="n">
        <x:f>L124+SUM(M124:S124)</x:f>
        <x:v>0.007209999999999999</x:v>
      </x:c>
      <x:c r="U124" s="39"/>
      <x:c r="V124" s="38" t="str">
        <x:f>IF(U124="","",T124-U124)</x:f>
      </x:c>
      <x:c r="W124" s="28"/>
    </x:row>
    <x:row r="125">
      <x:c r="A125" s="30" t="n">
        <x:v>125</x:v>
      </x:c>
      <x:c r="B125" s="30" t="n">
        <x:v>4</x:v>
      </x:c>
      <x:c r="C125" s="31" t="str">
        <x:f>REPT(" ",B125)&amp;TRIM(RIGHT(SUBSTITUTE(D125," ",REPT(" ",99)),99))</x:f>
        <x:v>    Nc3</x:v>
      </x:c>
      <x:c r="D125" s="18" t="str">
        <x:v>d4 d5 e3 Bf5 c4 e6 Nc3</x:v>
      </x:c>
      <x:c r="E125" s="18" t="str">
        <x:v>odh</x:v>
      </x:c>
      <x:c r="F125" s="34" t="str">
        <x:f>IF(COUNTIF($E$2:E125,E125)&gt;1,MATCH(E125,$E:$E,0),"")</x:f>
      </x:c>
      <x:c r="G125" s="34" t="str">
        <x:f>IF(F125="","",COUNTIF($F$2:F125,"&gt;0"))</x:f>
      </x:c>
      <x:c r="H125" s="34" t="n">
        <x:v>124</x:v>
      </x:c>
      <x:c r="I125" s="35" t="b">
        <x:v>1</x:v>
      </x:c>
      <x:c r="J125" s="38" t="n">
        <x:v>0.34360999999999997</x:v>
      </x:c>
      <x:c r="K125" s="38" t="n">
        <x:v>0.00248</x:v>
      </x:c>
      <x:c r="L125" s="38" t="n">
        <x:v>0.00248</x:v>
      </x:c>
      <x:c r="M125" s="39"/>
      <x:c r="N125" s="39"/>
      <x:c r="O125" s="39"/>
      <x:c r="P125" s="39"/>
      <x:c r="Q125" s="39"/>
      <x:c r="R125" s="39"/>
      <x:c r="S125" s="39"/>
      <x:c r="T125" s="38" t="n">
        <x:f>L125+SUM(M125:S125)</x:f>
        <x:v>0.00248</x:v>
      </x:c>
      <x:c r="U125" s="39"/>
      <x:c r="V125" s="38" t="str">
        <x:f>IF(U125="","",T125-U125)</x:f>
      </x:c>
      <x:c r="W125" s="28"/>
    </x:row>
    <x:row r="126">
      <x:c r="A126" s="30" t="n">
        <x:v>126</x:v>
      </x:c>
      <x:c r="B126" s="30" t="n">
        <x:v>4</x:v>
      </x:c>
      <x:c r="C126" s="31" t="str">
        <x:f>REPT(" ",B126)&amp;TRIM(RIGHT(SUBSTITUTE(D126," ",REPT(" ",99)),99))</x:f>
        <x:v>    a3</x:v>
      </x:c>
      <x:c r="D126" s="18" t="str">
        <x:v>d4 d5 e3 Bf5 c4 e6 a3</x:v>
      </x:c>
      <x:c r="E126" s="18" t="str">
        <x:v>hsh</x:v>
      </x:c>
      <x:c r="F126" s="34" t="str">
        <x:f>IF(COUNTIF($E$2:E126,E126)&gt;1,MATCH(E126,$E:$E,0),"")</x:f>
      </x:c>
      <x:c r="G126" s="34" t="str">
        <x:f>IF(F126="","",COUNTIF($F$2:F126,"&gt;0"))</x:f>
      </x:c>
      <x:c r="H126" s="34" t="n">
        <x:v>124</x:v>
      </x:c>
      <x:c r="I126" s="35" t="b">
        <x:v>1</x:v>
      </x:c>
      <x:c r="J126" s="38" t="n">
        <x:v>0.15522</x:v>
      </x:c>
      <x:c r="K126" s="38" t="n">
        <x:v>0.0011200000000000001</x:v>
      </x:c>
      <x:c r="L126" s="38" t="n">
        <x:v>0.0011200000000000001</x:v>
      </x:c>
      <x:c r="M126" s="39"/>
      <x:c r="N126" s="39"/>
      <x:c r="O126" s="39"/>
      <x:c r="P126" s="39"/>
      <x:c r="Q126" s="39"/>
      <x:c r="R126" s="39"/>
      <x:c r="S126" s="39"/>
      <x:c r="T126" s="38" t="n">
        <x:f>L126+SUM(M126:S126)</x:f>
        <x:v>0.0011200000000000001</x:v>
      </x:c>
      <x:c r="U126" s="39"/>
      <x:c r="V126" s="38" t="str">
        <x:f>IF(U126="","",T126-U126)</x:f>
      </x:c>
      <x:c r="W126" s="28"/>
    </x:row>
    <x:row r="127">
      <x:c r="A127" s="30" t="n">
        <x:v>127</x:v>
      </x:c>
      <x:c r="B127" s="30" t="n">
        <x:v>4</x:v>
      </x:c>
      <x:c r="C127" s="31" t="str">
        <x:f>REPT(" ",B127)&amp;TRIM(RIGHT(SUBSTITUTE(D127," ",REPT(" ",99)),99))</x:f>
        <x:v>    Nf3</x:v>
      </x:c>
      <x:c r="D127" s="18" t="str">
        <x:v>d4 d5 e3 Bf5 c4 e6 Nf3</x:v>
      </x:c>
      <x:c r="E127" s="18" t="str">
        <x:v>hck</x:v>
      </x:c>
      <x:c r="F127" s="34" t="str">
        <x:f>IF(COUNTIF($E$2:E127,E127)&gt;1,MATCH(E127,$E:$E,0),"")</x:f>
      </x:c>
      <x:c r="G127" s="34" t="str">
        <x:f>IF(F127="","",COUNTIF($F$2:F127,"&gt;0"))</x:f>
      </x:c>
      <x:c r="H127" s="34" t="n">
        <x:v>124</x:v>
      </x:c>
      <x:c r="I127" s="35" t="b">
        <x:v>1</x:v>
      </x:c>
      <x:c r="J127" s="38" t="n">
        <x:v>0.1509</x:v>
      </x:c>
      <x:c r="K127" s="38" t="n">
        <x:v>0.00109</x:v>
      </x:c>
      <x:c r="L127" s="38" t="n">
        <x:v>0.00109</x:v>
      </x:c>
      <x:c r="M127" s="39"/>
      <x:c r="N127" s="39"/>
      <x:c r="O127" s="39"/>
      <x:c r="P127" s="39"/>
      <x:c r="Q127" s="39"/>
      <x:c r="R127" s="39"/>
      <x:c r="S127" s="39"/>
      <x:c r="T127" s="38" t="n">
        <x:f>L127+SUM(M127:S127)</x:f>
        <x:v>0.00109</x:v>
      </x:c>
      <x:c r="U127" s="39"/>
      <x:c r="V127" s="38" t="str">
        <x:f>IF(U127="","",T127-U127)</x:f>
      </x:c>
      <x:c r="W127" s="28"/>
    </x:row>
    <x:row r="128">
      <x:c r="A128" s="30" t="n">
        <x:v>128</x:v>
      </x:c>
      <x:c r="B128" s="30" t="n">
        <x:v>4</x:v>
      </x:c>
      <x:c r="C128" s="31" t="str">
        <x:f>REPT(" ",B128)&amp;TRIM(RIGHT(SUBSTITUTE(D128," ",REPT(" ",99)),99))</x:f>
        <x:v>    cxd5</x:v>
      </x:c>
      <x:c r="D128" s="18" t="str">
        <x:v>d4 d5 e3 Bf5 c4 e6 cxd5</x:v>
      </x:c>
      <x:c r="E128" s="18" t="str">
        <x:v>ubh</x:v>
      </x:c>
      <x:c r="F128" s="34" t="str">
        <x:f>IF(COUNTIF($E$2:E128,E128)&gt;1,MATCH(E128,$E:$E,0),"")</x:f>
      </x:c>
      <x:c r="G128" s="34" t="str">
        <x:f>IF(F128="","",COUNTIF($F$2:F128,"&gt;0"))</x:f>
      </x:c>
      <x:c r="H128" s="34" t="n">
        <x:v>124</x:v>
      </x:c>
      <x:c r="I128" s="35" t="b">
        <x:v>1</x:v>
      </x:c>
      <x:c r="J128" s="38" t="n">
        <x:v>0.14995</x:v>
      </x:c>
      <x:c r="K128" s="38" t="n">
        <x:v>0.00108</x:v>
      </x:c>
      <x:c r="L128" s="38" t="n">
        <x:v>0.00108</x:v>
      </x:c>
      <x:c r="M128" s="39"/>
      <x:c r="N128" s="39"/>
      <x:c r="O128" s="39"/>
      <x:c r="P128" s="39"/>
      <x:c r="Q128" s="39"/>
      <x:c r="R128" s="39"/>
      <x:c r="S128" s="39"/>
      <x:c r="T128" s="38" t="n">
        <x:f>L128+SUM(M128:S128)</x:f>
        <x:v>0.00108</x:v>
      </x:c>
      <x:c r="U128" s="39"/>
      <x:c r="V128" s="38" t="str">
        <x:f>IF(U128="","",T128-U128)</x:f>
      </x:c>
      <x:c r="W128" s="28"/>
    </x:row>
    <x:row r="129">
      <x:c r="A129" s="30" t="n">
        <x:v>129</x:v>
      </x:c>
      <x:c r="B129" s="30" t="n">
        <x:v>4</x:v>
      </x:c>
      <x:c r="C129" s="31" t="str">
        <x:f>REPT(" ",B129)&amp;TRIM(RIGHT(SUBSTITUTE(D129," ",REPT(" ",99)),99))</x:f>
        <x:v>    c5</x:v>
      </x:c>
      <x:c r="D129" s="18" t="str">
        <x:v>d4 d5 e3 Bf5 c4 e6 c5</x:v>
      </x:c>
      <x:c r="E129" s="18" t="str">
        <x:v>acw</x:v>
      </x:c>
      <x:c r="F129" s="34" t="str">
        <x:f>IF(COUNTIF($E$2:E129,E129)&gt;1,MATCH(E129,$E:$E,0),"")</x:f>
      </x:c>
      <x:c r="G129" s="34" t="str">
        <x:f>IF(F129="","",COUNTIF($F$2:F129,"&gt;0"))</x:f>
      </x:c>
      <x:c r="H129" s="34" t="n">
        <x:v>124</x:v>
      </x:c>
      <x:c r="I129" s="35" t="b">
        <x:v>1</x:v>
      </x:c>
      <x:c r="J129" s="38" t="n">
        <x:v>0.12928</x:v>
      </x:c>
      <x:c r="K129" s="38" t="n">
        <x:v>0.0009299999999999999</x:v>
      </x:c>
      <x:c r="L129" s="38" t="n">
        <x:v>0.0009299999999999999</x:v>
      </x:c>
      <x:c r="M129" s="39"/>
      <x:c r="N129" s="39"/>
      <x:c r="O129" s="39"/>
      <x:c r="P129" s="39"/>
      <x:c r="Q129" s="39"/>
      <x:c r="R129" s="39"/>
      <x:c r="S129" s="39"/>
      <x:c r="T129" s="38" t="n">
        <x:f>L129+SUM(M129:S129)</x:f>
        <x:v>0.0009299999999999999</x:v>
      </x:c>
      <x:c r="U129" s="39"/>
      <x:c r="V129" s="38" t="str">
        <x:f>IF(U129="","",T129-U129)</x:f>
      </x:c>
      <x:c r="W129" s="28"/>
    </x:row>
    <x:row r="130">
      <x:c r="A130" s="30" t="n">
        <x:v>130</x:v>
      </x:c>
      <x:c r="B130" s="30" t="n">
        <x:v>4</x:v>
      </x:c>
      <x:c r="C130" s="31" t="str">
        <x:f>REPT(" ",B130)&amp;TRIM(RIGHT(SUBSTITUTE(D130," ",REPT(" ",99)),99))</x:f>
        <x:v>    Qb3</x:v>
      </x:c>
      <x:c r="D130" s="18" t="str">
        <x:v>d4 d5 e3 Bf5 c4 e6 Qb3</x:v>
      </x:c>
      <x:c r="E130" s="18" t="str">
        <x:v>asr</x:v>
      </x:c>
      <x:c r="F130" s="34" t="str">
        <x:f>IF(COUNTIF($E$2:E130,E130)&gt;1,MATCH(E130,$E:$E,0),"")</x:f>
      </x:c>
      <x:c r="G130" s="34" t="str">
        <x:f>IF(F130="","",COUNTIF($F$2:F130,"&gt;0"))</x:f>
      </x:c>
      <x:c r="H130" s="34" t="n">
        <x:v>124</x:v>
      </x:c>
      <x:c r="I130" s="35" t="b">
        <x:v>1</x:v>
      </x:c>
      <x:c r="J130" s="38" t="n">
        <x:v>0.07105</x:v>
      </x:c>
      <x:c r="K130" s="38" t="n">
        <x:v>0.0005099999999999999</x:v>
      </x:c>
      <x:c r="L130" s="38" t="n">
        <x:v>0.0005099999999999999</x:v>
      </x:c>
      <x:c r="M130" s="39"/>
      <x:c r="N130" s="39"/>
      <x:c r="O130" s="39"/>
      <x:c r="P130" s="39"/>
      <x:c r="Q130" s="39"/>
      <x:c r="R130" s="39"/>
      <x:c r="S130" s="39"/>
      <x:c r="T130" s="38" t="n">
        <x:f>L130+SUM(M130:S130)</x:f>
        <x:v>0.0005099999999999999</x:v>
      </x:c>
      <x:c r="U130" s="39"/>
      <x:c r="V130" s="38" t="str">
        <x:f>IF(U130="","",T130-U130)</x:f>
      </x:c>
      <x:c r="W130" s="28"/>
    </x:row>
    <x:row r="131">
      <x:c r="A131" s="30" t="n">
        <x:v>131</x:v>
      </x:c>
      <x:c r="B131" s="30" t="n">
        <x:v>3</x:v>
      </x:c>
      <x:c r="C131" s="31" t="str">
        <x:f>REPT(" ",B131)&amp;TRIM(RIGHT(SUBSTITUTE(D131," ",REPT(" ",99)),99))</x:f>
        <x:v>   Nf3</x:v>
      </x:c>
      <x:c r="D131" s="18" t="str">
        <x:v>d4 d5 e3 Bf5 Nf3</x:v>
      </x:c>
      <x:c r="E131" s="18" t="str">
        <x:v>ngr</x:v>
      </x:c>
      <x:c r="F131" s="34" t="str">
        <x:f>IF(COUNTIF($E$2:E131,E131)&gt;1,MATCH(E131,$E:$E,0),"")</x:f>
      </x:c>
      <x:c r="G131" s="34" t="str">
        <x:f>IF(F131="","",COUNTIF($F$2:F131,"&gt;0"))</x:f>
      </x:c>
      <x:c r="H131" s="34" t="n">
        <x:v>119</x:v>
      </x:c>
      <x:c r="I131" s="35" t="b">
        <x:v>0</x:v>
      </x:c>
      <x:c r="J131" s="38" t="n">
        <x:v>0.25565</x:v>
      </x:c>
      <x:c r="K131" s="38" t="n">
        <x:v>0.00631</x:v>
      </x:c>
      <x:c r="L131" s="38" t="n">
        <x:v>0.00631</x:v>
      </x:c>
      <x:c r="M131" s="39"/>
      <x:c r="N131" s="39"/>
      <x:c r="O131" s="39"/>
      <x:c r="P131" s="39"/>
      <x:c r="Q131" s="39"/>
      <x:c r="R131" s="39"/>
      <x:c r="S131" s="39"/>
      <x:c r="T131" s="38" t="n">
        <x:f>L131+SUM(M131:S131)</x:f>
        <x:v>0.00631</x:v>
      </x:c>
      <x:c r="U131" s="39"/>
      <x:c r="V131" s="38" t="str">
        <x:f>IF(U131="","",T131-U131)</x:f>
      </x:c>
      <x:c r="W131" s="28"/>
    </x:row>
    <x:row r="132">
      <x:c r="A132" s="30" t="n">
        <x:v>132</x:v>
      </x:c>
      <x:c r="B132" s="30" t="n">
        <x:v>4</x:v>
      </x:c>
      <x:c r="C132" s="31" t="str">
        <x:f>REPT(" ",B132)&amp;TRIM(RIGHT(SUBSTITUTE(D132," ",REPT(" ",99)),99))</x:f>
        <x:v>    Bd3</x:v>
      </x:c>
      <x:c r="D132" s="18" t="str">
        <x:v>d4 d5 e3 Bf5 Nf3 e6 Bd3</x:v>
      </x:c>
      <x:c r="E132" s="18" t="str">
        <x:v>prf</x:v>
      </x:c>
      <x:c r="F132" s="34" t="n">
        <x:f>IF(COUNTIF($E$2:E132,E132)&gt;1,MATCH(E132,$E:$E,0),"")</x:f>
        <x:v>123</x:v>
      </x:c>
      <x:c r="G132" s="34" t="n">
        <x:f>IF(F132="","",COUNTIF($F$2:F132,"&gt;0"))</x:f>
        <x:v>3</x:v>
      </x:c>
      <x:c r="H132" s="34" t="n">
        <x:v>131</x:v>
      </x:c>
      <x:c r="I132" s="35" t="b">
        <x:v>1</x:v>
      </x:c>
      <x:c r="J132" s="38" t="n">
        <x:v>0.40528</x:v>
      </x:c>
      <x:c r="K132" s="38" t="n">
        <x:v>0.00256</x:v>
      </x:c>
      <x:c r="L132" s="38" t="n">
        <x:v>0.00256</x:v>
      </x:c>
      <x:c r="M132" s="39"/>
      <x:c r="N132" s="39"/>
      <x:c r="O132" s="39"/>
      <x:c r="P132" s="39"/>
      <x:c r="Q132" s="39"/>
      <x:c r="R132" s="39"/>
      <x:c r="S132" s="39"/>
      <x:c r="T132" s="38" t="n">
        <x:f>L132+SUM(M132:S132)</x:f>
        <x:v>0.00256</x:v>
      </x:c>
      <x:c r="U132" s="39"/>
      <x:c r="V132" s="38" t="str">
        <x:f>IF(U132="","",T132-U132)</x:f>
      </x:c>
      <x:c r="W132" s="28"/>
    </x:row>
    <x:row r="133">
      <x:c r="A133" s="30" t="n">
        <x:v>133</x:v>
      </x:c>
      <x:c r="B133" s="30" t="n">
        <x:v>4</x:v>
      </x:c>
      <x:c r="C133" s="31" t="str">
        <x:f>REPT(" ",B133)&amp;TRIM(RIGHT(SUBSTITUTE(D133," ",REPT(" ",99)),99))</x:f>
        <x:v>    c4</x:v>
      </x:c>
      <x:c r="D133" s="18" t="str">
        <x:v>d4 d5 e3 Bf5 Nf3 e6 c4</x:v>
      </x:c>
      <x:c r="E133" s="18" t="str">
        <x:v>hck</x:v>
      </x:c>
      <x:c r="F133" s="34" t="n">
        <x:f>IF(COUNTIF($E$2:E133,E133)&gt;1,MATCH(E133,$E:$E,0),"")</x:f>
        <x:v>127</x:v>
      </x:c>
      <x:c r="G133" s="34" t="n">
        <x:f>IF(F133="","",COUNTIF($F$2:F133,"&gt;0"))</x:f>
        <x:v>4</x:v>
      </x:c>
      <x:c r="H133" s="34" t="n">
        <x:v>131</x:v>
      </x:c>
      <x:c r="I133" s="35" t="b">
        <x:v>1</x:v>
      </x:c>
      <x:c r="J133" s="38" t="n">
        <x:v>0.29007</x:v>
      </x:c>
      <x:c r="K133" s="38" t="n">
        <x:v>0.00183</x:v>
      </x:c>
      <x:c r="L133" s="38" t="n">
        <x:v>0.00183</x:v>
      </x:c>
      <x:c r="M133" s="39"/>
      <x:c r="N133" s="39"/>
      <x:c r="O133" s="39"/>
      <x:c r="P133" s="39"/>
      <x:c r="Q133" s="39"/>
      <x:c r="R133" s="39"/>
      <x:c r="S133" s="39"/>
      <x:c r="T133" s="38" t="n">
        <x:f>L133+SUM(M133:S133)</x:f>
        <x:v>0.00183</x:v>
      </x:c>
      <x:c r="U133" s="39"/>
      <x:c r="V133" s="38" t="str">
        <x:f>IF(U133="","",T133-U133)</x:f>
      </x:c>
      <x:c r="W133" s="28"/>
    </x:row>
    <x:row r="134">
      <x:c r="A134" s="30" t="n">
        <x:v>134</x:v>
      </x:c>
      <x:c r="B134" s="30" t="n">
        <x:v>4</x:v>
      </x:c>
      <x:c r="C134" s="31" t="str">
        <x:f>REPT(" ",B134)&amp;TRIM(RIGHT(SUBSTITUTE(D134," ",REPT(" ",99)),99))</x:f>
        <x:v>    a3</x:v>
      </x:c>
      <x:c r="D134" s="18" t="str">
        <x:v>d4 d5 e3 Bf5 Nf3 e6 a3</x:v>
      </x:c>
      <x:c r="E134" s="18" t="str">
        <x:v>mvu</x:v>
      </x:c>
      <x:c r="F134" s="34" t="str">
        <x:f>IF(COUNTIF($E$2:E134,E134)&gt;1,MATCH(E134,$E:$E,0),"")</x:f>
      </x:c>
      <x:c r="G134" s="34" t="str">
        <x:f>IF(F134="","",COUNTIF($F$2:F134,"&gt;0"))</x:f>
      </x:c>
      <x:c r="H134" s="34" t="n">
        <x:v>131</x:v>
      </x:c>
      <x:c r="I134" s="35" t="b">
        <x:v>1</x:v>
      </x:c>
      <x:c r="J134" s="38" t="n">
        <x:v>0.11452</x:v>
      </x:c>
      <x:c r="K134" s="38" t="n">
        <x:v>0.0007199999999999999</x:v>
      </x:c>
      <x:c r="L134" s="38" t="n">
        <x:v>0.0007199999999999999</x:v>
      </x:c>
      <x:c r="M134" s="39"/>
      <x:c r="N134" s="39"/>
      <x:c r="O134" s="39"/>
      <x:c r="P134" s="39"/>
      <x:c r="Q134" s="39"/>
      <x:c r="R134" s="39"/>
      <x:c r="S134" s="39"/>
      <x:c r="T134" s="38" t="n">
        <x:f>L134+SUM(M134:S134)</x:f>
        <x:v>0.0007199999999999999</x:v>
      </x:c>
      <x:c r="U134" s="39"/>
      <x:c r="V134" s="38" t="str">
        <x:f>IF(U134="","",T134-U134)</x:f>
      </x:c>
      <x:c r="W134" s="28"/>
    </x:row>
    <x:row r="135">
      <x:c r="A135" s="30" t="n">
        <x:v>135</x:v>
      </x:c>
      <x:c r="B135" s="30" t="n">
        <x:v>4</x:v>
      </x:c>
      <x:c r="C135" s="31" t="str">
        <x:f>REPT(" ",B135)&amp;TRIM(RIGHT(SUBSTITUTE(D135," ",REPT(" ",99)),99))</x:f>
        <x:v>    Be2</x:v>
      </x:c>
      <x:c r="D135" s="18" t="str">
        <x:v>d4 d5 e3 Bf5 Nf3 e6 Be2</x:v>
      </x:c>
      <x:c r="E135" s="18" t="str">
        <x:v>yxw</x:v>
      </x:c>
      <x:c r="F135" s="34" t="str">
        <x:f>IF(COUNTIF($E$2:E135,E135)&gt;1,MATCH(E135,$E:$E,0),"")</x:f>
      </x:c>
      <x:c r="G135" s="34" t="str">
        <x:f>IF(F135="","",COUNTIF($F$2:F135,"&gt;0"))</x:f>
      </x:c>
      <x:c r="H135" s="34" t="n">
        <x:v>131</x:v>
      </x:c>
      <x:c r="I135" s="35" t="b">
        <x:v>1</x:v>
      </x:c>
      <x:c r="J135" s="38" t="n">
        <x:v>0.09706</x:v>
      </x:c>
      <x:c r="K135" s="38" t="n">
        <x:v>0.00061</x:v>
      </x:c>
      <x:c r="L135" s="38" t="n">
        <x:v>0.00061</x:v>
      </x:c>
      <x:c r="M135" s="39"/>
      <x:c r="N135" s="39"/>
      <x:c r="O135" s="39"/>
      <x:c r="P135" s="39"/>
      <x:c r="Q135" s="39"/>
      <x:c r="R135" s="39"/>
      <x:c r="S135" s="39"/>
      <x:c r="T135" s="38" t="n">
        <x:f>L135+SUM(M135:S135)</x:f>
        <x:v>0.00061</x:v>
      </x:c>
      <x:c r="U135" s="39"/>
      <x:c r="V135" s="38" t="str">
        <x:f>IF(U135="","",T135-U135)</x:f>
      </x:c>
      <x:c r="W135" s="28"/>
    </x:row>
    <x:row r="136">
      <x:c r="A136" s="30" t="n">
        <x:v>136</x:v>
      </x:c>
      <x:c r="B136" s="30" t="n">
        <x:v>4</x:v>
      </x:c>
      <x:c r="C136" s="31" t="str">
        <x:f>REPT(" ",B136)&amp;TRIM(RIGHT(SUBSTITUTE(D136," ",REPT(" ",99)),99))</x:f>
        <x:v>    Nbd2</x:v>
      </x:c>
      <x:c r="D136" s="18" t="str">
        <x:v>d4 d5 e3 Bf5 Nf3 e6 Nbd2</x:v>
      </x:c>
      <x:c r="E136" s="18" t="str">
        <x:v>gwj</x:v>
      </x:c>
      <x:c r="F136" s="34" t="str">
        <x:f>IF(COUNTIF($E$2:E136,E136)&gt;1,MATCH(E136,$E:$E,0),"")</x:f>
      </x:c>
      <x:c r="G136" s="34" t="str">
        <x:f>IF(F136="","",COUNTIF($F$2:F136,"&gt;0"))</x:f>
      </x:c>
      <x:c r="H136" s="34" t="n">
        <x:v>131</x:v>
      </x:c>
      <x:c r="I136" s="35" t="b">
        <x:v>1</x:v>
      </x:c>
      <x:c r="J136" s="38" t="n">
        <x:v>0.09307</x:v>
      </x:c>
      <x:c r="K136" s="38" t="n">
        <x:v>0.0005899999999999999</x:v>
      </x:c>
      <x:c r="L136" s="38" t="n">
        <x:v>0.0005899999999999999</x:v>
      </x:c>
      <x:c r="M136" s="39"/>
      <x:c r="N136" s="39"/>
      <x:c r="O136" s="39"/>
      <x:c r="P136" s="39"/>
      <x:c r="Q136" s="39"/>
      <x:c r="R136" s="39"/>
      <x:c r="S136" s="39"/>
      <x:c r="T136" s="38" t="n">
        <x:f>L136+SUM(M136:S136)</x:f>
        <x:v>0.0005899999999999999</x:v>
      </x:c>
      <x:c r="U136" s="39"/>
      <x:c r="V136" s="38" t="str">
        <x:f>IF(U136="","",T136-U136)</x:f>
      </x:c>
      <x:c r="W136" s="28"/>
    </x:row>
    <x:row r="137">
      <x:c r="A137" s="30" t="n">
        <x:v>137</x:v>
      </x:c>
      <x:c r="B137" s="30" t="n">
        <x:v>3</x:v>
      </x:c>
      <x:c r="C137" s="31" t="str">
        <x:f>REPT(" ",B137)&amp;TRIM(RIGHT(SUBSTITUTE(D137," ",REPT(" ",99)),99))</x:f>
        <x:v>   f4</x:v>
      </x:c>
      <x:c r="D137" s="18" t="str">
        <x:v>d4 d5 e3 Bf5 f4</x:v>
      </x:c>
      <x:c r="E137" s="18" t="str">
        <x:v>cbk</x:v>
      </x:c>
      <x:c r="F137" s="34" t="str">
        <x:f>IF(COUNTIF($E$2:E137,E137)&gt;1,MATCH(E137,$E:$E,0),"")</x:f>
      </x:c>
      <x:c r="G137" s="34" t="str">
        <x:f>IF(F137="","",COUNTIF($F$2:F137,"&gt;0"))</x:f>
      </x:c>
      <x:c r="H137" s="34" t="n">
        <x:v>119</x:v>
      </x:c>
      <x:c r="I137" s="35" t="b">
        <x:v>0</x:v>
      </x:c>
      <x:c r="J137" s="38" t="n">
        <x:v>0.08299</x:v>
      </x:c>
      <x:c r="K137" s="38" t="n">
        <x:v>0.0020499999999999997</x:v>
      </x:c>
      <x:c r="L137" s="38" t="n">
        <x:v>0.0020499999999999997</x:v>
      </x:c>
      <x:c r="M137" s="39"/>
      <x:c r="N137" s="39"/>
      <x:c r="O137" s="39"/>
      <x:c r="P137" s="39"/>
      <x:c r="Q137" s="39"/>
      <x:c r="R137" s="39"/>
      <x:c r="S137" s="39"/>
      <x:c r="T137" s="38" t="n">
        <x:f>L137+SUM(M137:S137)</x:f>
        <x:v>0.0020499999999999997</x:v>
      </x:c>
      <x:c r="U137" s="39"/>
      <x:c r="V137" s="38" t="str">
        <x:f>IF(U137="","",T137-U137)</x:f>
      </x:c>
      <x:c r="W137" s="28"/>
    </x:row>
    <x:row r="138">
      <x:c r="A138" s="30" t="n">
        <x:v>138</x:v>
      </x:c>
      <x:c r="B138" s="30" t="n">
        <x:v>4</x:v>
      </x:c>
      <x:c r="C138" s="31" t="str">
        <x:f>REPT(" ",B138)&amp;TRIM(RIGHT(SUBSTITUTE(D138," ",REPT(" ",99)),99))</x:f>
        <x:v>    Nf3</x:v>
      </x:c>
      <x:c r="D138" s="18" t="str">
        <x:v>d4 d5 e3 Bf5 f4 e6 Nf3</x:v>
      </x:c>
      <x:c r="E138" s="18" t="str">
        <x:v>cqh</x:v>
      </x:c>
      <x:c r="F138" s="34" t="str">
        <x:f>IF(COUNTIF($E$2:E138,E138)&gt;1,MATCH(E138,$E:$E,0),"")</x:f>
      </x:c>
      <x:c r="G138" s="34" t="str">
        <x:f>IF(F138="","",COUNTIF($F$2:F138,"&gt;0"))</x:f>
      </x:c>
      <x:c r="H138" s="34" t="n">
        <x:v>137</x:v>
      </x:c>
      <x:c r="I138" s="35" t="b">
        <x:v>1</x:v>
      </x:c>
      <x:c r="J138" s="38" t="n">
        <x:v>0.7129300000000001</x:v>
      </x:c>
      <x:c r="K138" s="38" t="n">
        <x:v>0.00146</x:v>
      </x:c>
      <x:c r="L138" s="38" t="n">
        <x:v>0.00146</x:v>
      </x:c>
      <x:c r="M138" s="39"/>
      <x:c r="N138" s="39"/>
      <x:c r="O138" s="39"/>
      <x:c r="P138" s="39"/>
      <x:c r="Q138" s="39"/>
      <x:c r="R138" s="39"/>
      <x:c r="S138" s="39"/>
      <x:c r="T138" s="38" t="n">
        <x:f>L138+SUM(M138:S138)</x:f>
        <x:v>0.00146</x:v>
      </x:c>
      <x:c r="U138" s="39"/>
      <x:c r="V138" s="38" t="str">
        <x:f>IF(U138="","",T138-U138)</x:f>
      </x:c>
      <x:c r="W138" s="28"/>
    </x:row>
    <x:row r="139">
      <x:c r="A139" s="30" t="n">
        <x:v>139</x:v>
      </x:c>
      <x:c r="B139" s="30" t="n">
        <x:v>4</x:v>
      </x:c>
      <x:c r="C139" s="31" t="str">
        <x:f>REPT(" ",B139)&amp;TRIM(RIGHT(SUBSTITUTE(D139," ",REPT(" ",99)),99))</x:f>
        <x:v>    Bd3</x:v>
      </x:c>
      <x:c r="D139" s="18" t="str">
        <x:v>d4 d5 e3 Bf5 f4 e6 Bd3</x:v>
      </x:c>
      <x:c r="E139" s="18" t="str">
        <x:v>iqt</x:v>
      </x:c>
      <x:c r="F139" s="34" t="n">
        <x:f>IF(COUNTIF($E$2:E139,E139)&gt;1,MATCH(E139,$E:$E,0),"")</x:f>
        <x:v>122</x:v>
      </x:c>
      <x:c r="G139" s="34" t="n">
        <x:f>IF(F139="","",COUNTIF($F$2:F139,"&gt;0"))</x:f>
        <x:v>5</x:v>
      </x:c>
      <x:c r="H139" s="34" t="n">
        <x:v>137</x:v>
      </x:c>
      <x:c r="I139" s="35" t="b">
        <x:v>1</x:v>
      </x:c>
      <x:c r="J139" s="38" t="n">
        <x:v>0.22982</x:v>
      </x:c>
      <x:c r="K139" s="38" t="n">
        <x:v>0.00047</x:v>
      </x:c>
      <x:c r="L139" s="38" t="n">
        <x:v>0.00047</x:v>
      </x:c>
      <x:c r="M139" s="39"/>
      <x:c r="N139" s="39"/>
      <x:c r="O139" s="39"/>
      <x:c r="P139" s="39"/>
      <x:c r="Q139" s="39"/>
      <x:c r="R139" s="39"/>
      <x:c r="S139" s="39"/>
      <x:c r="T139" s="38" t="n">
        <x:f>L139+SUM(M139:S139)</x:f>
        <x:v>0.00047</x:v>
      </x:c>
      <x:c r="U139" s="39"/>
      <x:c r="V139" s="38" t="str">
        <x:f>IF(U139="","",T139-U139)</x:f>
      </x:c>
      <x:c r="W139" s="28"/>
    </x:row>
    <x:row r="140">
      <x:c r="A140" s="30" t="n">
        <x:v>140</x:v>
      </x:c>
      <x:c r="B140" s="30" t="n">
        <x:v>4</x:v>
      </x:c>
      <x:c r="C140" s="31" t="str">
        <x:f>REPT(" ",B140)&amp;TRIM(RIGHT(SUBSTITUTE(D140," ",REPT(" ",99)),99))</x:f>
        <x:v>    c3</x:v>
      </x:c>
      <x:c r="D140" s="18" t="str">
        <x:v>d4 d5 e3 Bf5 f4 e6 c3</x:v>
      </x:c>
      <x:c r="E140" s="18" t="str">
        <x:v>ivp</x:v>
      </x:c>
      <x:c r="F140" s="34" t="str">
        <x:f>IF(COUNTIF($E$2:E140,E140)&gt;1,MATCH(E140,$E:$E,0),"")</x:f>
      </x:c>
      <x:c r="G140" s="34" t="str">
        <x:f>IF(F140="","",COUNTIF($F$2:F140,"&gt;0"))</x:f>
      </x:c>
      <x:c r="H140" s="34" t="n">
        <x:v>137</x:v>
      </x:c>
      <x:c r="I140" s="35" t="b">
        <x:v>1</x:v>
      </x:c>
      <x:c r="J140" s="38" t="n">
        <x:v>0.05726</x:v>
      </x:c>
      <x:c r="K140" s="38" t="n">
        <x:v>0.00012</x:v>
      </x:c>
      <x:c r="L140" s="38" t="n">
        <x:v>0.00012</x:v>
      </x:c>
      <x:c r="M140" s="39"/>
      <x:c r="N140" s="39"/>
      <x:c r="O140" s="39"/>
      <x:c r="P140" s="39"/>
      <x:c r="Q140" s="39"/>
      <x:c r="R140" s="39"/>
      <x:c r="S140" s="39"/>
      <x:c r="T140" s="38" t="n">
        <x:f>L140+SUM(M140:S140)</x:f>
        <x:v>0.00012</x:v>
      </x:c>
      <x:c r="U140" s="39"/>
      <x:c r="V140" s="38" t="str">
        <x:f>IF(U140="","",T140-U140)</x:f>
      </x:c>
      <x:c r="W140" s="28"/>
    </x:row>
    <x:row r="141">
      <x:c r="A141" s="30" t="n">
        <x:v>141</x:v>
      </x:c>
      <x:c r="B141" s="30" t="n">
        <x:v>2</x:v>
      </x:c>
      <x:c r="C141" s="31" t="str">
        <x:f>REPT(" ",B141)&amp;TRIM(RIGHT(SUBSTITUTE(D141," ",REPT(" ",99)),99))</x:f>
        <x:v>  Nc3</x:v>
      </x:c>
      <x:c r="D141" s="18" t="str">
        <x:v>d4 d5 Nc3</x:v>
      </x:c>
      <x:c r="E141" s="18" t="str">
        <x:v>hyj</x:v>
      </x:c>
      <x:c r="F141" s="34" t="str">
        <x:f>IF(COUNTIF($E$2:E141,E141)&gt;1,MATCH(E141,$E:$E,0),"")</x:f>
      </x:c>
      <x:c r="G141" s="34" t="str">
        <x:f>IF(F141="","",COUNTIF($F$2:F141,"&gt;0"))</x:f>
      </x:c>
      <x:c r="H141" s="34" t="n">
        <x:v>52</x:v>
      </x:c>
      <x:c r="I141" s="35" t="b">
        <x:v>0</x:v>
      </x:c>
      <x:c r="J141" s="38" t="n">
        <x:v>0.061790000000000005</x:v>
      </x:c>
      <x:c r="K141" s="38" t="n">
        <x:v>0.01712</x:v>
      </x:c>
      <x:c r="L141" s="38" t="n">
        <x:v>0.01712</x:v>
      </x:c>
      <x:c r="M141" s="39"/>
      <x:c r="N141" s="39"/>
      <x:c r="O141" s="39"/>
      <x:c r="P141" s="39"/>
      <x:c r="Q141" s="39"/>
      <x:c r="R141" s="39"/>
      <x:c r="S141" s="39"/>
      <x:c r="T141" s="38" t="n">
        <x:f>L141+SUM(M141:S141)</x:f>
        <x:v>0.01712</x:v>
      </x:c>
      <x:c r="U141" s="39"/>
      <x:c r="V141" s="38" t="str">
        <x:f>IF(U141="","",T141-U141)</x:f>
      </x:c>
      <x:c r="W141" s="28"/>
    </x:row>
    <x:row r="142">
      <x:c r="A142" s="30" t="n">
        <x:v>142</x:v>
      </x:c>
      <x:c r="B142" s="30" t="n">
        <x:v>3</x:v>
      </x:c>
      <x:c r="C142" s="31" t="str">
        <x:f>REPT(" ",B142)&amp;TRIM(RIGHT(SUBSTITUTE(D142," ",REPT(" ",99)),99))</x:f>
        <x:v>   Bf4</x:v>
      </x:c>
      <x:c r="D142" s="18" t="str">
        <x:v>d4 d5 Nc3 c6 Bf4</x:v>
      </x:c>
      <x:c r="E142" s="18" t="str">
        <x:v>chd</x:v>
      </x:c>
      <x:c r="F142" s="34" t="str">
        <x:f>IF(COUNTIF($E$2:E142,E142)&gt;1,MATCH(E142,$E:$E,0),"")</x:f>
      </x:c>
      <x:c r="G142" s="34" t="str">
        <x:f>IF(F142="","",COUNTIF($F$2:F142,"&gt;0"))</x:f>
      </x:c>
      <x:c r="H142" s="34" t="n">
        <x:v>141</x:v>
      </x:c>
      <x:c r="I142" s="35" t="b">
        <x:v>0</x:v>
      </x:c>
      <x:c r="J142" s="38" t="n">
        <x:v>0.53778</x:v>
      </x:c>
      <x:c r="K142" s="38" t="n">
        <x:v>0.009210000000000001</x:v>
      </x:c>
      <x:c r="L142" s="38" t="n">
        <x:v>0.009210000000000001</x:v>
      </x:c>
      <x:c r="M142" s="39"/>
      <x:c r="N142" s="39"/>
      <x:c r="O142" s="39"/>
      <x:c r="P142" s="39"/>
      <x:c r="Q142" s="39"/>
      <x:c r="R142" s="39"/>
      <x:c r="S142" s="39"/>
      <x:c r="T142" s="38" t="n">
        <x:f>L142+SUM(M142:S142)</x:f>
        <x:v>0.009210000000000001</x:v>
      </x:c>
      <x:c r="U142" s="39"/>
      <x:c r="V142" s="38" t="str">
        <x:f>IF(U142="","",T142-U142)</x:f>
      </x:c>
      <x:c r="W142" s="28"/>
    </x:row>
    <x:row r="143">
      <x:c r="A143" s="30" t="n">
        <x:v>143</x:v>
      </x:c>
      <x:c r="B143" s="30" t="n">
        <x:v>4</x:v>
      </x:c>
      <x:c r="C143" s="31" t="str">
        <x:f>REPT(" ",B143)&amp;TRIM(RIGHT(SUBSTITUTE(D143," ",REPT(" ",99)),99))</x:f>
        <x:v>    Rb1</x:v>
      </x:c>
      <x:c r="D143" s="18" t="str">
        <x:v>d4 d5 Nc3 c6 Bf4 Qb6 Rb1</x:v>
      </x:c>
      <x:c r="E143" s="18" t="str">
        <x:v>ulf</x:v>
      </x:c>
      <x:c r="F143" s="34" t="str">
        <x:f>IF(COUNTIF($E$2:E143,E143)&gt;1,MATCH(E143,$E:$E,0),"")</x:f>
      </x:c>
      <x:c r="G143" s="34" t="str">
        <x:f>IF(F143="","",COUNTIF($F$2:F143,"&gt;0"))</x:f>
      </x:c>
      <x:c r="H143" s="34" t="n">
        <x:v>142</x:v>
      </x:c>
      <x:c r="I143" s="35" t="b">
        <x:v>1</x:v>
      </x:c>
      <x:c r="J143" s="38" t="n">
        <x:v>0.38187</x:v>
      </x:c>
      <x:c r="K143" s="38" t="n">
        <x:v>0.0035199999999999997</x:v>
      </x:c>
      <x:c r="L143" s="38" t="n">
        <x:v>0.0035199999999999997</x:v>
      </x:c>
      <x:c r="M143" s="39"/>
      <x:c r="N143" s="39"/>
      <x:c r="O143" s="39"/>
      <x:c r="P143" s="39"/>
      <x:c r="Q143" s="39"/>
      <x:c r="R143" s="39"/>
      <x:c r="S143" s="39"/>
      <x:c r="T143" s="38" t="n">
        <x:f>L143+SUM(M143:S143)</x:f>
        <x:v>0.0035199999999999997</x:v>
      </x:c>
      <x:c r="U143" s="39"/>
      <x:c r="V143" s="38" t="str">
        <x:f>IF(U143="","",T143-U143)</x:f>
      </x:c>
      <x:c r="W143" s="28"/>
    </x:row>
    <x:row r="144">
      <x:c r="A144" s="30" t="n">
        <x:v>144</x:v>
      </x:c>
      <x:c r="B144" s="30" t="n">
        <x:v>4</x:v>
      </x:c>
      <x:c r="C144" s="31" t="str">
        <x:f>REPT(" ",B144)&amp;TRIM(RIGHT(SUBSTITUTE(D144," ",REPT(" ",99)),99))</x:f>
        <x:v>    Na4</x:v>
      </x:c>
      <x:c r="D144" s="18" t="str">
        <x:v>d4 d5 Nc3 c6 Bf4 Qb6 Na4</x:v>
      </x:c>
      <x:c r="E144" s="18" t="str">
        <x:v>mio</x:v>
      </x:c>
      <x:c r="F144" s="34" t="str">
        <x:f>IF(COUNTIF($E$2:E144,E144)&gt;1,MATCH(E144,$E:$E,0),"")</x:f>
      </x:c>
      <x:c r="G144" s="34" t="str">
        <x:f>IF(F144="","",COUNTIF($F$2:F144,"&gt;0"))</x:f>
      </x:c>
      <x:c r="H144" s="34" t="n">
        <x:v>142</x:v>
      </x:c>
      <x:c r="I144" s="35" t="b">
        <x:v>1</x:v>
      </x:c>
      <x:c r="J144" s="38" t="n">
        <x:v>0.29708</x:v>
      </x:c>
      <x:c r="K144" s="38" t="n">
        <x:v>0.0027400000000000002</x:v>
      </x:c>
      <x:c r="L144" s="38" t="n">
        <x:v>0.0027400000000000002</x:v>
      </x:c>
      <x:c r="M144" s="39"/>
      <x:c r="N144" s="39"/>
      <x:c r="O144" s="39"/>
      <x:c r="P144" s="39"/>
      <x:c r="Q144" s="39"/>
      <x:c r="R144" s="39"/>
      <x:c r="S144" s="39"/>
      <x:c r="T144" s="38" t="n">
        <x:f>L144+SUM(M144:S144)</x:f>
        <x:v>0.0027400000000000002</x:v>
      </x:c>
      <x:c r="U144" s="39"/>
      <x:c r="V144" s="38" t="str">
        <x:f>IF(U144="","",T144-U144)</x:f>
      </x:c>
      <x:c r="W144" s="28"/>
    </x:row>
    <x:row r="145">
      <x:c r="A145" s="30" t="n">
        <x:v>145</x:v>
      </x:c>
      <x:c r="B145" s="30" t="n">
        <x:v>4</x:v>
      </x:c>
      <x:c r="C145" s="31" t="str">
        <x:f>REPT(" ",B145)&amp;TRIM(RIGHT(SUBSTITUTE(D145," ",REPT(" ",99)),99))</x:f>
        <x:v>    b3</x:v>
      </x:c>
      <x:c r="D145" s="18" t="str">
        <x:v>d4 d5 Nc3 c6 Bf4 Qb6 b3</x:v>
      </x:c>
      <x:c r="E145" s="18" t="str">
        <x:v>viw</x:v>
      </x:c>
      <x:c r="F145" s="34" t="str">
        <x:f>IF(COUNTIF($E$2:E145,E145)&gt;1,MATCH(E145,$E:$E,0),"")</x:f>
      </x:c>
      <x:c r="G145" s="34" t="str">
        <x:f>IF(F145="","",COUNTIF($F$2:F145,"&gt;0"))</x:f>
      </x:c>
      <x:c r="H145" s="34" t="n">
        <x:v>142</x:v>
      </x:c>
      <x:c r="I145" s="35" t="b">
        <x:v>1</x:v>
      </x:c>
      <x:c r="J145" s="38" t="n">
        <x:v>0.17832</x:v>
      </x:c>
      <x:c r="K145" s="38" t="n">
        <x:v>0.00164</x:v>
      </x:c>
      <x:c r="L145" s="38" t="n">
        <x:v>0.00164</x:v>
      </x:c>
      <x:c r="M145" s="39"/>
      <x:c r="N145" s="39"/>
      <x:c r="O145" s="39"/>
      <x:c r="P145" s="39"/>
      <x:c r="Q145" s="39"/>
      <x:c r="R145" s="39"/>
      <x:c r="S145" s="39"/>
      <x:c r="T145" s="38" t="n">
        <x:f>L145+SUM(M145:S145)</x:f>
        <x:v>0.00164</x:v>
      </x:c>
      <x:c r="U145" s="39"/>
      <x:c r="V145" s="38" t="str">
        <x:f>IF(U145="","",T145-U145)</x:f>
      </x:c>
      <x:c r="W145" s="28"/>
    </x:row>
    <x:row r="146">
      <x:c r="A146" s="30" t="n">
        <x:v>146</x:v>
      </x:c>
      <x:c r="B146" s="30" t="n">
        <x:v>4</x:v>
      </x:c>
      <x:c r="C146" s="31" t="str">
        <x:f>REPT(" ",B146)&amp;TRIM(RIGHT(SUBSTITUTE(D146," ",REPT(" ",99)),99))</x:f>
        <x:v>    e3</x:v>
      </x:c>
      <x:c r="D146" s="18" t="str">
        <x:v>d4 d5 Nc3 c6 Bf4 Qb6 e3</x:v>
      </x:c>
      <x:c r="E146" s="18" t="str">
        <x:v>vuc</x:v>
      </x:c>
      <x:c r="F146" s="34" t="str">
        <x:f>IF(COUNTIF($E$2:E146,E146)&gt;1,MATCH(E146,$E:$E,0),"")</x:f>
      </x:c>
      <x:c r="G146" s="34" t="str">
        <x:f>IF(F146="","",COUNTIF($F$2:F146,"&gt;0"))</x:f>
      </x:c>
      <x:c r="H146" s="34" t="n">
        <x:v>142</x:v>
      </x:c>
      <x:c r="I146" s="35" t="b">
        <x:v>1</x:v>
      </x:c>
      <x:c r="J146" s="38" t="n">
        <x:v>0.08123</x:v>
      </x:c>
      <x:c r="K146" s="38" t="n">
        <x:v>0.00075</x:v>
      </x:c>
      <x:c r="L146" s="38" t="n">
        <x:v>0.00075</x:v>
      </x:c>
      <x:c r="M146" s="39"/>
      <x:c r="N146" s="39"/>
      <x:c r="O146" s="39"/>
      <x:c r="P146" s="39"/>
      <x:c r="Q146" s="39"/>
      <x:c r="R146" s="39"/>
      <x:c r="S146" s="39"/>
      <x:c r="T146" s="38" t="n">
        <x:f>L146+SUM(M146:S146)</x:f>
        <x:v>0.00075</x:v>
      </x:c>
      <x:c r="U146" s="39"/>
      <x:c r="V146" s="38" t="str">
        <x:f>IF(U146="","",T146-U146)</x:f>
      </x:c>
      <x:c r="W146" s="28"/>
    </x:row>
    <x:row r="147">
      <x:c r="A147" s="30" t="n">
        <x:v>147</x:v>
      </x:c>
      <x:c r="B147" s="30" t="n">
        <x:v>4</x:v>
      </x:c>
      <x:c r="C147" s="31" t="str">
        <x:f>REPT(" ",B147)&amp;TRIM(RIGHT(SUBSTITUTE(D147," ",REPT(" ",99)),99))</x:f>
        <x:v>    a3</x:v>
      </x:c>
      <x:c r="D147" s="18" t="str">
        <x:v>d4 d5 Nc3 c6 Bf4 Qb6 a3</x:v>
      </x:c>
      <x:c r="E147" s="18" t="str">
        <x:v>llg</x:v>
      </x:c>
      <x:c r="F147" s="34" t="str">
        <x:f>IF(COUNTIF($E$2:E147,E147)&gt;1,MATCH(E147,$E:$E,0),"")</x:f>
      </x:c>
      <x:c r="G147" s="34" t="str">
        <x:f>IF(F147="","",COUNTIF($F$2:F147,"&gt;0"))</x:f>
      </x:c>
      <x:c r="H147" s="34" t="n">
        <x:v>142</x:v>
      </x:c>
      <x:c r="I147" s="35" t="b">
        <x:v>1</x:v>
      </x:c>
      <x:c r="J147" s="38" t="n">
        <x:v>0.06149</x:v>
      </x:c>
      <x:c r="K147" s="38" t="n">
        <x:v>0.00057</x:v>
      </x:c>
      <x:c r="L147" s="38" t="n">
        <x:v>0.00057</x:v>
      </x:c>
      <x:c r="M147" s="39"/>
      <x:c r="N147" s="39"/>
      <x:c r="O147" s="39"/>
      <x:c r="P147" s="39"/>
      <x:c r="Q147" s="39"/>
      <x:c r="R147" s="39"/>
      <x:c r="S147" s="39"/>
      <x:c r="T147" s="38" t="n">
        <x:f>L147+SUM(M147:S147)</x:f>
        <x:v>0.00057</x:v>
      </x:c>
      <x:c r="U147" s="39"/>
      <x:c r="V147" s="38" t="str">
        <x:f>IF(U147="","",T147-U147)</x:f>
      </x:c>
      <x:c r="W147" s="28"/>
    </x:row>
    <x:row r="148">
      <x:c r="A148" s="30" t="n">
        <x:v>148</x:v>
      </x:c>
      <x:c r="B148" s="30" t="n">
        <x:v>3</x:v>
      </x:c>
      <x:c r="C148" s="31" t="str">
        <x:f>REPT(" ",B148)&amp;TRIM(RIGHT(SUBSTITUTE(D148," ",REPT(" ",99)),99))</x:f>
        <x:v>   e4</x:v>
      </x:c>
      <x:c r="D148" s="18" t="str">
        <x:v>d4 d5 Nc3 c6 e4</x:v>
      </x:c>
      <x:c r="E148" s="18" t="str">
        <x:v>qfb</x:v>
      </x:c>
      <x:c r="F148" s="34" t="n">
        <x:f>IF(COUNTIF($E$2:E148,E148)&gt;1,MATCH(E148,$E:$E,0),"")</x:f>
        <x:v>15</x:v>
      </x:c>
      <x:c r="G148" s="34" t="n">
        <x:f>IF(F148="","",COUNTIF($F$2:F148,"&gt;0"))</x:f>
        <x:v>6</x:v>
      </x:c>
      <x:c r="H148" s="34" t="n">
        <x:v>141</x:v>
      </x:c>
      <x:c r="I148" s="35" t="b">
        <x:v>1</x:v>
      </x:c>
      <x:c r="J148" s="38" t="n">
        <x:v>0.27779</x:v>
      </x:c>
      <x:c r="K148" s="38" t="n">
        <x:v>0.0047599999999999995</x:v>
      </x:c>
      <x:c r="L148" s="38" t="n">
        <x:v>0.0047599999999999995</x:v>
      </x:c>
      <x:c r="M148" s="39"/>
      <x:c r="N148" s="39"/>
      <x:c r="O148" s="39"/>
      <x:c r="P148" s="39"/>
      <x:c r="Q148" s="39"/>
      <x:c r="R148" s="39"/>
      <x:c r="S148" s="39"/>
      <x:c r="T148" s="38" t="n">
        <x:f>L148+SUM(M148:S148)</x:f>
        <x:v>0.0047599999999999995</x:v>
      </x:c>
      <x:c r="U148" s="39"/>
      <x:c r="V148" s="38" t="str">
        <x:f>IF(U148="","",T148-U148)</x:f>
      </x:c>
      <x:c r="W148" s="28"/>
    </x:row>
    <x:row r="149">
      <x:c r="A149" s="30" t="n">
        <x:v>149</x:v>
      </x:c>
      <x:c r="B149" s="30" t="n">
        <x:v>3</x:v>
      </x:c>
      <x:c r="C149" s="31" t="str">
        <x:f>REPT(" ",B149)&amp;TRIM(RIGHT(SUBSTITUTE(D149," ",REPT(" ",99)),99))</x:f>
        <x:v>   Nf3</x:v>
      </x:c>
      <x:c r="D149" s="18" t="str">
        <x:v>d4 d5 Nc3 c6 Nf3</x:v>
      </x:c>
      <x:c r="E149" s="18" t="str">
        <x:v>bhb</x:v>
      </x:c>
      <x:c r="F149" s="34" t="n">
        <x:f>IF(COUNTIF($E$2:E149,E149)&gt;1,MATCH(E149,$E:$E,0),"")</x:f>
        <x:v>115</x:v>
      </x:c>
      <x:c r="G149" s="34" t="n">
        <x:f>IF(F149="","",COUNTIF($F$2:F149,"&gt;0"))</x:f>
        <x:v>7</x:v>
      </x:c>
      <x:c r="H149" s="34" t="n">
        <x:v>141</x:v>
      </x:c>
      <x:c r="I149" s="35" t="b">
        <x:v>1</x:v>
      </x:c>
      <x:c r="J149" s="38" t="n">
        <x:v>0.18443</x:v>
      </x:c>
      <x:c r="K149" s="38" t="n">
        <x:v>0.00316</x:v>
      </x:c>
      <x:c r="L149" s="38" t="n">
        <x:v>0.00316</x:v>
      </x:c>
      <x:c r="M149" s="39"/>
      <x:c r="N149" s="39"/>
      <x:c r="O149" s="39"/>
      <x:c r="P149" s="39"/>
      <x:c r="Q149" s="39"/>
      <x:c r="R149" s="39"/>
      <x:c r="S149" s="39"/>
      <x:c r="T149" s="38" t="n">
        <x:f>L149+SUM(M149:S149)</x:f>
        <x:v>0.00316</x:v>
      </x:c>
      <x:c r="U149" s="39"/>
      <x:c r="V149" s="38" t="str">
        <x:f>IF(U149="","",T149-U149)</x:f>
      </x:c>
      <x:c r="W149" s="28"/>
    </x:row>
  </x:sheetData>
  <x:conditionalFormatting sqref="E2:E149">
    <x:cfRule type="expression" dxfId="0" priority="1">
      <x:formula>AND(E2&lt;&gt;"",COUNTIF($E$2:$E$149,E2)=2)</x:formula>
    </x:cfRule>
    <x:cfRule type="expression" dxfId="1" priority="2">
      <x:formula>AND(E2&lt;&gt;"",COUNTIF($E$2:$E$149,E2)&gt;=3)</x:formula>
    </x:cfRule>
  </x:conditionalFormatting>
  <x:conditionalFormatting sqref="V2:V149">
    <x:cfRule type="expression" dxfId="2" priority="3">
      <x:formula>AND(V2&lt;&gt;"",ABS(V2)&gt;0.000005)</x:formula>
    </x:cfRule>
  </x:conditionalFormatting>
  <x:pageMargins left="0.7" right="0.7" top="0.75" bottom="0.75" header="0.3" footer="0.3"/>
</x:worksheet>
</file>